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매출(ERP)" sheetId="2" state="visible" r:id="rId4"/>
    <sheet name="비용_거래내역" sheetId="3" state="visible" r:id="rId5"/>
    <sheet name="비용_요약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<sst xmlns="http://schemas.openxmlformats.org/spreadsheetml/2006/main" count="561" uniqueCount="279">
  <si>
    <r>
      <rPr>
        <b val="true"/>
        <sz val="14"/>
        <rFont val="Noto Sans CJK SC"/>
        <family val="2"/>
      </rPr>
      <t xml:space="preserve">오성철강 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실적 요약</t>
    </r>
  </si>
  <si>
    <r>
      <rPr>
        <i val="true"/>
        <sz val="9"/>
        <color rgb="FF6B7280"/>
        <rFont val="Noto Sans CJK SC"/>
        <family val="2"/>
      </rPr>
      <t xml:space="preserve">매출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 </t>
    </r>
    <r>
      <rPr>
        <i val="true"/>
        <sz val="9"/>
        <color rgb="FF6B7280"/>
        <rFont val="Noto Sans CJK SC"/>
        <family val="2"/>
      </rPr>
      <t xml:space="preserve">작업실적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발생주의</t>
    </r>
    <r>
      <rPr>
        <i val="true"/>
        <sz val="9"/>
        <color rgb="FF6B7280"/>
        <rFont val="Arial"/>
        <family val="0"/>
        <charset val="1"/>
      </rPr>
      <t xml:space="preserve">) </t>
    </r>
    <r>
      <rPr>
        <i val="true"/>
        <sz val="9"/>
        <color rgb="FF6B7280"/>
        <rFont val="Noto Sans CJK SC"/>
        <family val="2"/>
      </rPr>
      <t xml:space="preserve">기준 </t>
    </r>
    <r>
      <rPr>
        <i val="true"/>
        <sz val="9"/>
        <color rgb="FF6B7280"/>
        <rFont val="Arial"/>
        <family val="0"/>
        <charset val="1"/>
      </rPr>
      <t xml:space="preserve">/ </t>
    </r>
    <r>
      <rPr>
        <i val="true"/>
        <sz val="9"/>
        <color rgb="FF6B7280"/>
        <rFont val="Noto Sans CJK SC"/>
        <family val="2"/>
      </rPr>
      <t xml:space="preserve">비용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하나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우리은행 실제 출금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현금주의</t>
    </r>
    <r>
      <rPr>
        <i val="true"/>
        <sz val="9"/>
        <color rgb="FF6B7280"/>
        <rFont val="Arial"/>
        <family val="0"/>
        <charset val="1"/>
      </rPr>
      <t xml:space="preserve">) </t>
    </r>
    <r>
      <rPr>
        <i val="true"/>
        <sz val="9"/>
        <color rgb="FF6B7280"/>
        <rFont val="Noto Sans CJK SC"/>
        <family val="2"/>
      </rPr>
      <t xml:space="preserve">기준 — 두 기준의 시점이 달라 실제 손익과 차이가 있을 수 있습니다</t>
    </r>
    <r>
      <rPr>
        <i val="true"/>
        <sz val="9"/>
        <color rgb="FF6B7280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</si>
  <si>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매출 합계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그린</t>
    </r>
    <r>
      <rPr>
        <sz val="11"/>
        <rFont val="Arial"/>
        <family val="0"/>
        <charset val="1"/>
      </rPr>
      <t xml:space="preserve">ERP 8</t>
    </r>
    <r>
      <rPr>
        <sz val="11"/>
        <rFont val="Noto Sans CJK SC"/>
        <family val="2"/>
      </rPr>
      <t xml:space="preserve">월 작업실적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</si>
  <si>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영업비용 합계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은행 출금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카테고리 집계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</si>
  <si>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영업손익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- </t>
    </r>
    <r>
      <rPr>
        <b val="true"/>
        <sz val="11"/>
        <rFont val="Noto Sans CJK SC"/>
        <family val="2"/>
      </rPr>
      <t xml:space="preserve">비용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</si>
  <si>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참고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영업손익에 포함 안 됨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</si>
  <si>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설비투자</t>
    </r>
    <r>
      <rPr>
        <sz val="11"/>
        <rFont val="Arial"/>
        <family val="0"/>
        <charset val="1"/>
      </rPr>
      <t xml:space="preserve">(CAPEX) - </t>
    </r>
    <r>
      <rPr>
        <sz val="11"/>
        <rFont val="Noto Sans CJK SC"/>
        <family val="2"/>
      </rPr>
      <t xml:space="preserve">대홍엔지니어링 레벨링기계 잔금</t>
    </r>
  </si>
  <si>
    <r>
      <rPr>
        <sz val="11"/>
        <rFont val="Noto Sans CJK SC"/>
        <family val="2"/>
      </rPr>
      <t xml:space="preserve">매출채권 회수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고객 입금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현금흐름 참고용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</si>
  <si>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계좌간 자금이체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우리은행 내부이체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</si>
  <si>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잡수익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확인된 항목 없음 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모든 입금이 매출채권 회수 또는 계좌간 이체로 분류됨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</si>
  <si>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주요 가정 및 확인 필요 사항</t>
  </si>
  <si>
    <r>
      <rPr>
        <sz val="9"/>
        <rFont val="Arial"/>
        <family val="0"/>
        <charset val="1"/>
      </rPr>
      <t xml:space="preserve">1) </t>
    </r>
    <r>
      <rPr>
        <sz val="9"/>
        <rFont val="Noto Sans CJK SC"/>
        <family val="2"/>
      </rPr>
      <t xml:space="preserve">비용은 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월 중 실제 계좌 출금액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현금주의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기준이며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매출은 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월 작업실적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발생주의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기준입니다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시점 불일치로 실제 손익과 차이가 있을 수 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</si>
  <si>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2) </t>
    </r>
    <r>
      <rPr>
        <sz val="9"/>
        <rFont val="Noto Sans CJK SC"/>
        <family val="2"/>
      </rPr>
      <t xml:space="preserve">카드대금은 카드사 청구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출금일 기준이라 실제 사용월과 다를 수 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</si>
  <si>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3) "</t>
    </r>
    <r>
      <rPr>
        <sz val="9"/>
        <rFont val="Noto Sans CJK SC"/>
        <family val="2"/>
      </rPr>
      <t xml:space="preserve">기타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확인필요</t>
    </r>
    <r>
      <rPr>
        <sz val="9"/>
        <rFont val="Arial"/>
        <family val="0"/>
        <charset val="1"/>
      </rPr>
      <t xml:space="preserve">)" </t>
    </r>
    <r>
      <rPr>
        <sz val="9"/>
        <rFont val="Noto Sans CJK SC"/>
        <family val="2"/>
      </rPr>
      <t xml:space="preserve">항목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비용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거래내역 시트 노란색 표시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총 </t>
    </r>
    <r>
      <rPr>
        <sz val="9"/>
        <rFont val="Arial"/>
        <family val="0"/>
        <charset val="1"/>
      </rPr>
      <t xml:space="preserve">968,000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적요만으로 계정과목을 특정하기 어려워 별도 확인이 필요합니다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</si>
  <si>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4) </t>
    </r>
    <r>
      <rPr>
        <sz val="9"/>
        <rFont val="Noto Sans CJK SC"/>
        <family val="2"/>
      </rPr>
      <t xml:space="preserve">대홍엔지니어링 레벨링기계 잔금</t>
    </r>
    <r>
      <rPr>
        <sz val="9"/>
        <rFont val="Arial"/>
        <family val="0"/>
        <charset val="1"/>
      </rPr>
      <t xml:space="preserve">(29,480,000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설비투자로 보아 당월 비용에서 제외했습니다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</si>
  <si>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5) "SAMSUN"</t>
    </r>
    <r>
      <rPr>
        <sz val="9"/>
        <rFont val="Noto Sans CJK SC"/>
        <family val="2"/>
      </rPr>
      <t xml:space="preserve">으로 시작하는 </t>
    </r>
    <r>
      <rPr>
        <sz val="9"/>
        <rFont val="Arial"/>
        <family val="0"/>
        <charset val="1"/>
      </rPr>
      <t xml:space="preserve">CMS </t>
    </r>
    <r>
      <rPr>
        <sz val="9"/>
        <rFont val="Noto Sans CJK SC"/>
        <family val="2"/>
      </rPr>
      <t xml:space="preserve">자동이체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건</t>
    </r>
    <r>
      <rPr>
        <sz val="9"/>
        <rFont val="Arial"/>
        <family val="0"/>
        <charset val="1"/>
      </rPr>
      <t xml:space="preserve">(870,600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직원 개인 단체보험료로 추정했습니다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확인 필요</t>
    </r>
    <r>
      <rPr>
        <sz val="9"/>
        <rFont val="Arial"/>
        <family val="0"/>
        <charset val="1"/>
      </rPr>
      <t xml:space="preserve">).</t>
    </r>
  </si>
  <si>
    <r>
      <rPr>
        <b val="true"/>
        <sz val="14"/>
        <rFont val="Noto Sans CJK SC"/>
        <family val="2"/>
      </rPr>
      <t xml:space="preserve">오성철강 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매출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그린</t>
    </r>
    <r>
      <rPr>
        <b val="true"/>
        <sz val="14"/>
        <rFont val="Arial"/>
        <family val="0"/>
        <charset val="1"/>
      </rPr>
      <t xml:space="preserve">ERP </t>
    </r>
    <r>
      <rPr>
        <b val="true"/>
        <sz val="14"/>
        <rFont val="Noto Sans CJK SC"/>
        <family val="2"/>
      </rPr>
      <t xml:space="preserve">작업실적 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</si>
  <si>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B7280"/>
        <rFont val="Arial"/>
        <family val="0"/>
        <charset val="1"/>
      </rPr>
      <t xml:space="preserve">Source: Supabase greenp_production (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 </t>
    </r>
    <r>
      <rPr>
        <i val="true"/>
        <sz val="9"/>
        <color rgb="FF6B7280"/>
        <rFont val="Noto Sans CJK SC"/>
        <family val="2"/>
      </rPr>
      <t xml:space="preserve">미러</t>
    </r>
    <r>
      <rPr>
        <i val="true"/>
        <sz val="9"/>
        <color rgb="FF6B7280"/>
        <rFont val="Arial"/>
        <family val="0"/>
        <charset val="1"/>
      </rPr>
      <t xml:space="preserve">), slip_date 2026-08-01~2026-08-31, </t>
    </r>
    <r>
      <rPr>
        <i val="true"/>
        <sz val="9"/>
        <color rgb="FF6B7280"/>
        <rFont val="Noto Sans CJK SC"/>
        <family val="2"/>
      </rPr>
      <t xml:space="preserve">조회일 </t>
    </r>
    <r>
      <rPr>
        <i val="true"/>
        <sz val="9"/>
        <color rgb="FF6B7280"/>
        <rFont val="Arial"/>
        <family val="0"/>
        <charset val="1"/>
      </rPr>
      <t xml:space="preserve">2026-09-01</t>
    </r>
  </si>
  <si>
    <t xml:space="preserve">거래처명</t>
  </si>
  <si>
    <t xml:space="preserve">작업유형</t>
  </si>
  <si>
    <t xml:space="preserve">건수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</si>
  <si>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</si>
  <si>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대한강재</t>
    </r>
  </si>
  <si>
    <t xml:space="preserve">SLITING</t>
  </si>
  <si>
    <t xml:space="preserve">SLITING2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</si>
  <si>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유창</t>
    </r>
  </si>
  <si>
    <r>
      <rPr>
        <sz val="11"/>
        <rFont val="Noto Sans CJK SC"/>
        <family val="2"/>
      </rPr>
      <t xml:space="preserve">태경스틸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</si>
  <si>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미래이엔아이</t>
    </r>
  </si>
  <si>
    <r>
      <rPr>
        <sz val="11"/>
        <rFont val="Noto Sans CJK SC"/>
        <family val="2"/>
      </rPr>
      <t xml:space="preserve">강진밴드산업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</si>
  <si>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서울내장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</si>
  <si>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LEVELLING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</si>
  <si>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수창스틸</t>
    </r>
  </si>
  <si>
    <r>
      <rPr>
        <sz val="11"/>
        <rFont val="Noto Sans CJK SC"/>
        <family val="2"/>
      </rPr>
      <t xml:space="preserve">정현철강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</si>
  <si>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대한에스엔디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</si>
  <si>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신신강업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</si>
  <si>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미래이엔제이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</si>
  <si>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서정스틸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</si>
  <si>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다강스틸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</si>
  <si>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휘</t>
    </r>
    <r>
      <rPr>
        <sz val="11"/>
        <rFont val="Arial"/>
        <family val="0"/>
        <charset val="1"/>
      </rPr>
      <t xml:space="preserve">(HWI CO.,LTD.</t>
    </r>
  </si>
  <si>
    <r>
      <rPr>
        <sz val="11"/>
        <rFont val="Noto Sans CJK SC"/>
        <family val="2"/>
      </rPr>
      <t xml:space="preserve">해성에스티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</si>
  <si>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합계</t>
  </si>
  <si>
    <r>
      <rPr>
        <b val="true"/>
        <sz val="11"/>
        <rFont val="Noto Sans CJK SC"/>
        <family val="2"/>
      </rPr>
      <t xml:space="preserve">작업유형별 소계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참고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</si>
  <si>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은행 거래내역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하나은행 </t>
    </r>
    <r>
      <rPr>
        <b val="true"/>
        <sz val="14"/>
        <rFont val="Arial"/>
        <family val="0"/>
        <charset val="1"/>
      </rPr>
      <t xml:space="preserve">433-910049-16804, </t>
    </r>
    <r>
      <rPr>
        <b val="true"/>
        <sz val="14"/>
        <rFont val="Noto Sans CJK SC"/>
        <family val="2"/>
      </rPr>
      <t xml:space="preserve">우리은행 </t>
    </r>
    <r>
      <rPr>
        <b val="true"/>
        <sz val="14"/>
        <rFont val="Arial"/>
        <family val="0"/>
        <charset val="1"/>
      </rPr>
      <t xml:space="preserve">1005-404-709760)</t>
    </r>
  </si>
  <si>
    <r>
      <rPr>
        <i val="true"/>
        <sz val="9"/>
        <color rgb="FF6B7280"/>
        <rFont val="Arial"/>
        <family val="0"/>
        <charset val="1"/>
      </rPr>
      <t xml:space="preserve">Source: </t>
    </r>
    <r>
      <rPr>
        <i val="true"/>
        <sz val="9"/>
        <color rgb="FF6B7280"/>
        <rFont val="Noto Sans CJK SC"/>
        <family val="2"/>
      </rPr>
      <t xml:space="preserve">거래내역조회</t>
    </r>
    <r>
      <rPr>
        <i val="true"/>
        <sz val="9"/>
        <color rgb="FF6B7280"/>
        <rFont val="Arial"/>
        <family val="0"/>
        <charset val="1"/>
      </rPr>
      <t xml:space="preserve">_20260901(</t>
    </r>
    <r>
      <rPr>
        <i val="true"/>
        <sz val="9"/>
        <color rgb="FF6B7280"/>
        <rFont val="Noto Sans CJK SC"/>
        <family val="2"/>
      </rPr>
      <t xml:space="preserve">하나은행</t>
    </r>
    <r>
      <rPr>
        <i val="true"/>
        <sz val="9"/>
        <color rgb="FF6B7280"/>
        <rFont val="Arial"/>
        <family val="0"/>
        <charset val="1"/>
      </rPr>
      <t xml:space="preserve">/</t>
    </r>
    <r>
      <rPr>
        <i val="true"/>
        <sz val="9"/>
        <color rgb="FF6B7280"/>
        <rFont val="Noto Sans CJK SC"/>
        <family val="2"/>
      </rPr>
      <t xml:space="preserve">우리은행</t>
    </r>
    <r>
      <rPr>
        <i val="true"/>
        <sz val="9"/>
        <color rgb="FF6B7280"/>
        <rFont val="Arial"/>
        <family val="0"/>
        <charset val="1"/>
      </rPr>
      <t xml:space="preserve">).xls, </t>
    </r>
    <r>
      <rPr>
        <i val="true"/>
        <sz val="9"/>
        <color rgb="FF6B7280"/>
        <rFont val="Noto Sans CJK SC"/>
        <family val="2"/>
      </rPr>
      <t xml:space="preserve">조회기간 각 </t>
    </r>
    <r>
      <rPr>
        <i val="true"/>
        <sz val="9"/>
        <color rgb="FF6B7280"/>
        <rFont val="Arial"/>
        <family val="0"/>
        <charset val="1"/>
      </rPr>
      <t xml:space="preserve">2026-08-02~09-01 / 2026-08-01~09-01. </t>
    </r>
    <r>
      <rPr>
        <i val="true"/>
        <sz val="9"/>
        <color rgb="FF6B7280"/>
        <rFont val="Noto Sans CJK SC"/>
        <family val="2"/>
      </rPr>
      <t xml:space="preserve">회색 행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Noto Sans CJK SC"/>
        <family val="2"/>
      </rPr>
      <t xml:space="preserve">영업비용 집계 제외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설비투자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매출채권 회수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계좌간 이체</t>
    </r>
    <r>
      <rPr>
        <i val="true"/>
        <sz val="9"/>
        <color rgb="FF6B7280"/>
        <rFont val="Arial"/>
        <family val="0"/>
        <charset val="1"/>
      </rPr>
      <t xml:space="preserve">), </t>
    </r>
    <r>
      <rPr>
        <i val="true"/>
        <sz val="9"/>
        <color rgb="FF6B7280"/>
        <rFont val="Noto Sans CJK SC"/>
        <family val="2"/>
      </rPr>
      <t xml:space="preserve">노란 셀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Noto Sans CJK SC"/>
        <family val="2"/>
      </rPr>
      <t xml:space="preserve">계정과목 확인 필요</t>
    </r>
  </si>
  <si>
    <t xml:space="preserve">은행</t>
  </si>
  <si>
    <t xml:space="preserve">거래일시</t>
  </si>
  <si>
    <t xml:space="preserve">구분</t>
  </si>
  <si>
    <t xml:space="preserve">내용</t>
  </si>
  <si>
    <t xml:space="preserve">출금액</t>
  </si>
  <si>
    <t xml:space="preserve">입금액</t>
  </si>
  <si>
    <t xml:space="preserve">거래후잔액</t>
  </si>
  <si>
    <t xml:space="preserve">카테고리</t>
  </si>
  <si>
    <t xml:space="preserve">하나은행</t>
  </si>
  <si>
    <t xml:space="preserve">2026-08-31 16:03:52</t>
  </si>
  <si>
    <t xml:space="preserve">타행이체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</si>
  <si>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매출채권 회수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수금</t>
    </r>
    <r>
      <rPr>
        <sz val="11"/>
        <color theme="1"/>
        <rFont val="Calibri"/>
        <family val="2"/>
        <charset val="1"/>
      </rPr>
      <t xml:space="preserve">)</t>
    </r>
  </si>
  <si>
    <t xml:space="preserve">2026-08-31 15:54:17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</si>
  <si>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디엘메탈</t>
    </r>
  </si>
  <si>
    <t xml:space="preserve">2026-08-31 15:48:00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</si>
  <si>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기업은행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</si>
  <si>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위드환경보건 </t>
    </r>
    <r>
      <rPr>
        <sz val="11"/>
        <rFont val="Arial"/>
        <family val="0"/>
        <charset val="1"/>
      </rPr>
      <t xml:space="preserve">((5</t>
    </r>
    <r>
      <rPr>
        <sz val="11"/>
        <rFont val="Noto Sans CJK SC"/>
        <family val="2"/>
      </rPr>
      <t xml:space="preserve">월누락분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</si>
  <si>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환경측정</t>
    </r>
  </si>
  <si>
    <t xml:space="preserve">2026-08-31 15:47:59</t>
  </si>
  <si>
    <r>
      <rPr>
        <sz val="11"/>
        <rFont val="Noto Sans CJK SC"/>
        <family val="2"/>
      </rPr>
      <t xml:space="preserve">승원철강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철밴딘</t>
    </r>
    <r>
      <rPr>
        <sz val="11"/>
        <rFont val="Arial"/>
        <family val="0"/>
        <charset val="1"/>
      </rPr>
      <t xml:space="preserve">19m))</t>
    </r>
  </si>
  <si>
    <r>
      <rPr>
        <sz val="11"/>
        <color theme="1"/>
        <rFont val="Noto Sans CJK SC"/>
        <family val="2"/>
      </rPr>
      <t xml:space="preserve">외주가공비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자재비</t>
    </r>
  </si>
  <si>
    <t xml:space="preserve">2026-08-31 15:47:58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</si>
  <si>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신한은행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</si>
  <si>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최윤애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원프드식당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</si>
  <si>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식대</t>
    </r>
  </si>
  <si>
    <t xml:space="preserve">2026-08-31 15:47:57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</si>
  <si>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우체국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</si>
  <si>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윤영기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스키드</t>
    </r>
    <r>
      <rPr>
        <sz val="11"/>
        <rFont val="Arial"/>
        <family val="0"/>
        <charset val="1"/>
      </rPr>
      <t xml:space="preserve">=33))</t>
    </r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</si>
  <si>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)</t>
    </r>
  </si>
  <si>
    <t xml:space="preserve">2026-08-31 14:13:29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</si>
  <si>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주찬스틸</t>
    </r>
  </si>
  <si>
    <t xml:space="preserve">2026-08-31 14:12:12</t>
  </si>
  <si>
    <t xml:space="preserve">주식회사인창</t>
  </si>
  <si>
    <t xml:space="preserve">2026-08-31 13:33:22</t>
  </si>
  <si>
    <t xml:space="preserve">2026-08-31 10:19:02</t>
  </si>
  <si>
    <r>
      <rPr>
        <sz val="11"/>
        <rFont val="Noto Sans CJK SC"/>
        <family val="2"/>
      </rPr>
      <t xml:space="preserve">대산공업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</si>
  <si>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2026-08-28 11:22:27</t>
  </si>
  <si>
    <t xml:space="preserve">2026-08-27 09:37:46</t>
  </si>
  <si>
    <t xml:space="preserve">스마트개발비용</t>
  </si>
  <si>
    <r>
      <rPr>
        <sz val="11"/>
        <color theme="1"/>
        <rFont val="Noto Sans CJK SC"/>
        <family val="2"/>
      </rPr>
      <t xml:space="preserve">무형자산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개발비</t>
    </r>
  </si>
  <si>
    <t xml:space="preserve">2026-08-27 09:37:45</t>
  </si>
  <si>
    <t xml:space="preserve">2026-08-27 08:50:44</t>
  </si>
  <si>
    <t xml:space="preserve">2026-08-27 04:25:44</t>
  </si>
  <si>
    <t xml:space="preserve">통신요금</t>
  </si>
  <si>
    <t xml:space="preserve">KT5392716508</t>
  </si>
  <si>
    <t xml:space="preserve">통신비</t>
  </si>
  <si>
    <t xml:space="preserve">2026-08-26 13:10:34</t>
  </si>
  <si>
    <r>
      <rPr>
        <sz val="11"/>
        <rFont val="Noto Sans CJK SC"/>
        <family val="2"/>
      </rPr>
      <t xml:space="preserve">대홍엔지니어링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레베링기계잔금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</si>
  <si>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설비투자</t>
    </r>
    <r>
      <rPr>
        <sz val="11"/>
        <color theme="1"/>
        <rFont val="Calibri"/>
        <family val="2"/>
        <charset val="1"/>
      </rPr>
      <t xml:space="preserve">(CAPEX)-</t>
    </r>
    <r>
      <rPr>
        <sz val="11"/>
        <color theme="1"/>
        <rFont val="Noto Sans CJK SC"/>
        <family val="2"/>
      </rPr>
      <t xml:space="preserve">비용아님</t>
    </r>
  </si>
  <si>
    <t xml:space="preserve">2026-08-25 05:02:38</t>
  </si>
  <si>
    <t xml:space="preserve">CMS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</si>
  <si>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177</t>
    </r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</si>
  <si>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노란우산공제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대표자</t>
    </r>
    <r>
      <rPr>
        <sz val="11"/>
        <color theme="1"/>
        <rFont val="Calibri"/>
        <family val="2"/>
        <charset val="1"/>
      </rPr>
      <t xml:space="preserve">)</t>
    </r>
  </si>
  <si>
    <t xml:space="preserve">2026-08-25 04:46:11</t>
  </si>
  <si>
    <t xml:space="preserve">GIRO</t>
  </si>
  <si>
    <t xml:space="preserve">S1(N2328731)</t>
  </si>
  <si>
    <t xml:space="preserve">2026-08-25 04:41:30</t>
  </si>
  <si>
    <t xml:space="preserve">KT0432211108</t>
  </si>
  <si>
    <t xml:space="preserve">2026-08-25 04:41:28</t>
  </si>
  <si>
    <t xml:space="preserve">KT0434510508</t>
  </si>
  <si>
    <t xml:space="preserve">2026-08-24 04:35:06</t>
  </si>
  <si>
    <t xml:space="preserve">하나카드</t>
  </si>
  <si>
    <t xml:space="preserve">하나카드기업</t>
  </si>
  <si>
    <t xml:space="preserve">카드대금</t>
  </si>
  <si>
    <t xml:space="preserve">2026-08-20 04:37:00</t>
  </si>
  <si>
    <t xml:space="preserve">14SAMSUN961128</t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</si>
  <si>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단체보험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</si>
  <si>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14SAMSUN981024</t>
  </si>
  <si>
    <t xml:space="preserve">2026-08-20 04:36:59</t>
  </si>
  <si>
    <t xml:space="preserve">17SAMSUN960916</t>
  </si>
  <si>
    <t xml:space="preserve">17SAMSUN990514</t>
  </si>
  <si>
    <t xml:space="preserve">24SAMSUN880224</t>
  </si>
  <si>
    <t xml:space="preserve">2026-08-19 14:31:10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</si>
  <si>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국민은행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</si>
  <si>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박종승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천안중기공업</t>
    </r>
  </si>
  <si>
    <t xml:space="preserve">2026-08-19 14:24:25</t>
  </si>
  <si>
    <r>
      <rPr>
        <sz val="11"/>
        <rFont val="Noto Sans CJK SC"/>
        <family val="2"/>
      </rPr>
      <t xml:space="preserve">생산기술원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레베링이자</t>
    </r>
    <r>
      <rPr>
        <sz val="11"/>
        <rFont val="Arial"/>
        <family val="0"/>
        <charset val="1"/>
      </rPr>
      <t xml:space="preserve">))</t>
    </r>
  </si>
  <si>
    <t xml:space="preserve">이자비용</t>
  </si>
  <si>
    <t xml:space="preserve">2026-08-19 14:24:24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</si>
  <si>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</si>
  <si>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김석규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외부간판</t>
    </r>
    <r>
      <rPr>
        <sz val="11"/>
        <rFont val="Arial"/>
        <family val="0"/>
        <charset val="1"/>
      </rPr>
      <t xml:space="preserve">*3))</t>
    </r>
  </si>
  <si>
    <r>
      <rPr>
        <sz val="11"/>
        <color theme="1"/>
        <rFont val="Noto Sans CJK SC"/>
        <family val="2"/>
      </rPr>
      <t xml:space="preserve">수선비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광고</t>
    </r>
  </si>
  <si>
    <r>
      <rPr>
        <sz val="11"/>
        <rFont val="Noto Sans CJK SC"/>
        <family val="2"/>
      </rPr>
      <t xml:space="preserve">위드환경원구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작업측정료</t>
    </r>
    <r>
      <rPr>
        <sz val="11"/>
        <rFont val="Arial"/>
        <family val="0"/>
        <charset val="1"/>
      </rPr>
      <t xml:space="preserve">))</t>
    </r>
  </si>
  <si>
    <t xml:space="preserve">2026-08-18 14:57:14</t>
  </si>
  <si>
    <t xml:space="preserve">2026-08-14 10:22:14</t>
  </si>
  <si>
    <t xml:space="preserve">대체</t>
  </si>
  <si>
    <t xml:space="preserve">퇴직연금이체거래</t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</si>
  <si>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퇴직연금</t>
    </r>
  </si>
  <si>
    <t xml:space="preserve">2026-08-14 10:01:32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</si>
  <si>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삼봉스틸</t>
    </r>
  </si>
  <si>
    <t xml:space="preserve">2026-08-13 04:40:09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</si>
  <si>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08245</t>
    </r>
  </si>
  <si>
    <r>
      <rPr>
        <sz val="11"/>
        <color theme="1"/>
        <rFont val="Noto Sans CJK SC"/>
        <family val="2"/>
      </rPr>
      <t xml:space="preserve">보험료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화재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차량 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</si>
  <si>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08045</t>
    </r>
  </si>
  <si>
    <t xml:space="preserve">2026-08-12 16:26:14</t>
  </si>
  <si>
    <t xml:space="preserve">주식회사 휘</t>
  </si>
  <si>
    <t xml:space="preserve">2026-08-12 11:48:51</t>
  </si>
  <si>
    <t xml:space="preserve">공과금</t>
  </si>
  <si>
    <t xml:space="preserve">시흥시주민세</t>
  </si>
  <si>
    <t xml:space="preserve">세금과공과</t>
  </si>
  <si>
    <t xml:space="preserve">2026-08-11 12:21:26</t>
  </si>
  <si>
    <t xml:space="preserve">2026-08-10 15:15:20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</si>
  <si>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마크급여</t>
    </r>
    <r>
      <rPr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</si>
  <si>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급여</t>
    </r>
  </si>
  <si>
    <t xml:space="preserve">2026-08-10 15:15:19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</si>
  <si>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우리은행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</si>
  <si>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울급여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나드급여</t>
    </r>
    <r>
      <rPr>
        <sz val="11"/>
        <rFont val="Arial"/>
        <family val="0"/>
        <charset val="1"/>
      </rPr>
      <t xml:space="preserve">)</t>
    </r>
  </si>
  <si>
    <t xml:space="preserve">2026-08-10 15:11:52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</si>
  <si>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아스급여</t>
    </r>
    <r>
      <rPr>
        <sz val="11"/>
        <rFont val="Arial"/>
        <family val="0"/>
        <charset val="1"/>
      </rPr>
      <t xml:space="preserve">)</t>
    </r>
  </si>
  <si>
    <t xml:space="preserve">2026-08-10 15:11:51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</si>
  <si>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키어급여</t>
    </r>
    <r>
      <rPr>
        <sz val="11"/>
        <rFont val="Arial"/>
        <family val="0"/>
        <charset val="1"/>
      </rPr>
      <t xml:space="preserve">)</t>
    </r>
  </si>
  <si>
    <t xml:space="preserve">2026-08-10 15:11:50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</si>
  <si>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멜벤급여</t>
    </r>
    <r>
      <rPr>
        <sz val="11"/>
        <rFont val="Arial"/>
        <family val="0"/>
        <charset val="1"/>
      </rPr>
      <t xml:space="preserve">)</t>
    </r>
  </si>
  <si>
    <t xml:space="preserve">2026-08-10 15:11:49</t>
  </si>
  <si>
    <t xml:space="preserve">당행송금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</si>
  <si>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김영철급여</t>
    </r>
    <r>
      <rPr>
        <sz val="11"/>
        <rFont val="Arial"/>
        <family val="0"/>
        <charset val="1"/>
      </rPr>
      <t xml:space="preserve">)</t>
    </r>
  </si>
  <si>
    <t xml:space="preserve">2026-08-10 15:11:48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</si>
  <si>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이정설급여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</si>
  <si>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전부영급여</t>
    </r>
    <r>
      <rPr>
        <sz val="11"/>
        <rFont val="Arial"/>
        <family val="0"/>
        <charset val="1"/>
      </rPr>
      <t xml:space="preserve">)</t>
    </r>
  </si>
  <si>
    <t xml:space="preserve">2026-08-10 15:11:47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</si>
  <si>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(SC</t>
    </r>
    <r>
      <rPr>
        <sz val="11"/>
        <rFont val="Noto Sans CJK SC"/>
        <family val="2"/>
      </rPr>
      <t xml:space="preserve">제일은행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</si>
  <si>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정대균급여</t>
    </r>
    <r>
      <rPr>
        <sz val="11"/>
        <rFont val="Arial"/>
        <family val="0"/>
        <charset val="1"/>
      </rPr>
      <t xml:space="preserve">)</t>
    </r>
  </si>
  <si>
    <t xml:space="preserve">2026-08-10 15:11:46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</si>
  <si>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정연희급여</t>
    </r>
    <r>
      <rPr>
        <sz val="11"/>
        <rFont val="Arial"/>
        <family val="0"/>
        <charset val="1"/>
      </rPr>
      <t xml:space="preserve">)</t>
    </r>
  </si>
  <si>
    <t xml:space="preserve">2026-08-10 15:11:45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</si>
  <si>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이원춘급여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</si>
  <si>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남은우급여</t>
    </r>
    <r>
      <rPr>
        <sz val="11"/>
        <rFont val="Arial"/>
        <family val="0"/>
        <charset val="1"/>
      </rPr>
      <t xml:space="preserve">)</t>
    </r>
  </si>
  <si>
    <t xml:space="preserve">2026-08-10 13:55:03</t>
  </si>
  <si>
    <t xml:space="preserve">2026-08-10 11:14:04</t>
  </si>
  <si>
    <t xml:space="preserve">자동이체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</si>
  <si>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</si>
  <si>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임차료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렌탈</t>
    </r>
  </si>
  <si>
    <t xml:space="preserve">2026-08-10 07:37:22</t>
  </si>
  <si>
    <t xml:space="preserve">보험료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</si>
  <si>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08-162</t>
    </r>
  </si>
  <si>
    <t xml:space="preserve">2026-08-07 12:59:14</t>
  </si>
  <si>
    <t xml:space="preserve">안산시주민세</t>
  </si>
  <si>
    <t xml:space="preserve">2026-08-07 10:56:27</t>
  </si>
  <si>
    <t xml:space="preserve">건강남은우</t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</si>
  <si>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건강검진</t>
    </r>
  </si>
  <si>
    <t xml:space="preserve">2026-08-05 16:43:36</t>
  </si>
  <si>
    <r>
      <rPr>
        <sz val="11"/>
        <rFont val="Noto Sans CJK SC"/>
        <family val="2"/>
      </rPr>
      <t xml:space="preserve">모비류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통</t>
    </r>
  </si>
  <si>
    <t xml:space="preserve">2026-08-05 16:43:34</t>
  </si>
  <si>
    <t xml:space="preserve">대산공업작업</t>
  </si>
  <si>
    <r>
      <rPr>
        <sz val="11"/>
        <rFont val="Arial"/>
        <family val="0"/>
        <charset val="1"/>
      </rPr>
      <t xml:space="preserve">46</t>
    </r>
    <r>
      <rPr>
        <sz val="11"/>
        <rFont val="Noto Sans CJK SC"/>
        <family val="2"/>
      </rPr>
      <t xml:space="preserve">다이 </t>
    </r>
    <r>
      <rPr>
        <sz val="11"/>
        <rFont val="Arial"/>
        <family val="0"/>
        <charset val="1"/>
      </rPr>
      <t xml:space="preserve">(4*6)</t>
    </r>
  </si>
  <si>
    <t xml:space="preserve">2026-08-05 16:43:33</t>
  </si>
  <si>
    <t xml:space="preserve">혁진테크다이</t>
  </si>
  <si>
    <t xml:space="preserve">2026-08-05 16:43:32</t>
  </si>
  <si>
    <t xml:space="preserve">강진밴드미니샤</t>
  </si>
  <si>
    <t xml:space="preserve">2026-08-05 16:43:31</t>
  </si>
  <si>
    <t xml:space="preserve">현대전기타이</t>
  </si>
  <si>
    <t xml:space="preserve">미강운송비</t>
  </si>
  <si>
    <t xml:space="preserve">2026-08-05 16:43:30</t>
  </si>
  <si>
    <t xml:space="preserve">원석가공비</t>
  </si>
  <si>
    <t xml:space="preserve">2026-08-05 16:43:29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</si>
  <si>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월식대</t>
    </r>
  </si>
  <si>
    <t xml:space="preserve">2026-08-05 09:55:18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</si>
  <si>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대광기업</t>
    </r>
  </si>
  <si>
    <t xml:space="preserve">2026-08-05 04:30:59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</si>
  <si>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08052</t>
    </r>
  </si>
  <si>
    <t xml:space="preserve">우리은행</t>
  </si>
  <si>
    <t xml:space="preserve">2026.08.31 16:44</t>
  </si>
  <si>
    <t xml:space="preserve">지로자동</t>
  </si>
  <si>
    <r>
      <rPr>
        <sz val="11"/>
        <rFont val="Arial"/>
        <family val="0"/>
        <charset val="1"/>
      </rPr>
      <t xml:space="preserve">202608</t>
    </r>
    <r>
      <rPr>
        <sz val="11"/>
        <rFont val="Noto Sans CJK SC"/>
        <family val="2"/>
      </rPr>
      <t xml:space="preserve">수도</t>
    </r>
  </si>
  <si>
    <r>
      <rPr>
        <sz val="11"/>
        <color theme="1"/>
        <rFont val="Noto Sans CJK SC"/>
        <family val="2"/>
      </rPr>
      <t xml:space="preserve">수도광열비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수도</t>
    </r>
  </si>
  <si>
    <t xml:space="preserve">2026.08.31 08:07</t>
  </si>
  <si>
    <t xml:space="preserve">타행자동</t>
  </si>
  <si>
    <r>
      <rPr>
        <sz val="11"/>
        <rFont val="Noto Sans CJK SC"/>
        <family val="2"/>
      </rPr>
      <t xml:space="preserve">신한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한만규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아이디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</si>
  <si>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현대전기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</si>
  <si>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한국산업안전관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</si>
  <si>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주식회사한성소</t>
    </r>
    <r>
      <rPr>
        <sz val="11"/>
        <rFont val="Arial"/>
        <family val="0"/>
        <charset val="1"/>
      </rPr>
      <t xml:space="preserve">?</t>
    </r>
  </si>
  <si>
    <t xml:space="preserve">2026.08.27 16:33</t>
  </si>
  <si>
    <t xml:space="preserve">대출이자</t>
  </si>
  <si>
    <t xml:space="preserve">1220600859803</t>
  </si>
  <si>
    <t xml:space="preserve">1240200208076(2)</t>
  </si>
  <si>
    <t xml:space="preserve">1240200208076(3)</t>
  </si>
  <si>
    <t xml:space="preserve">1240200208076(1)</t>
  </si>
  <si>
    <t xml:space="preserve">1220000871061</t>
  </si>
  <si>
    <t xml:space="preserve">2026.08.20 17:33</t>
  </si>
  <si>
    <t xml:space="preserve">ＣＭＳ</t>
  </si>
  <si>
    <t xml:space="preserve">이카운트월수수료</t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</si>
  <si>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-ERP</t>
    </r>
    <r>
      <rPr>
        <sz val="11"/>
        <color theme="1"/>
        <rFont val="Noto Sans CJK SC"/>
        <family val="2"/>
      </rPr>
      <t xml:space="preserve">구독</t>
    </r>
  </si>
  <si>
    <t xml:space="preserve">2026.08.19 17:22</t>
  </si>
  <si>
    <t xml:space="preserve">인터넷</t>
  </si>
  <si>
    <t xml:space="preserve">1005203-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</si>
  <si>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계좌간 자금이체</t>
    </r>
  </si>
  <si>
    <t xml:space="preserve">2026.08.18 16:52</t>
  </si>
  <si>
    <r>
      <rPr>
        <sz val="11"/>
        <rFont val="Arial"/>
        <family val="0"/>
        <charset val="1"/>
      </rPr>
      <t xml:space="preserve">F/B </t>
    </r>
    <r>
      <rPr>
        <sz val="11"/>
        <rFont val="Noto Sans CJK SC"/>
        <family val="2"/>
      </rPr>
      <t xml:space="preserve">출금</t>
    </r>
  </si>
  <si>
    <t xml:space="preserve">현대카드</t>
  </si>
  <si>
    <t xml:space="preserve">2026.08.18 16:47</t>
  </si>
  <si>
    <t xml:space="preserve">01053927165SKT</t>
  </si>
  <si>
    <t xml:space="preserve">2026.08.10 16:54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</si>
  <si>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08</t>
    </r>
  </si>
  <si>
    <t xml:space="preserve">2026.08.10 16:44</t>
  </si>
  <si>
    <t xml:space="preserve">건강보험</t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</si>
  <si>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국민연금</t>
    </r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</si>
  <si>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-4</t>
    </r>
    <r>
      <rPr>
        <sz val="11"/>
        <color theme="1"/>
        <rFont val="Noto Sans CJK SC"/>
        <family val="2"/>
      </rPr>
      <t xml:space="preserve">대보험</t>
    </r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</si>
  <si>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고용보험</t>
    </r>
  </si>
  <si>
    <t xml:space="preserve">2026.08.10 16:43</t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</si>
  <si>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산재보험</t>
    </r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</si>
  <si>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국민건강</t>
    </r>
  </si>
  <si>
    <t xml:space="preserve">2026.08.05 16:56</t>
  </si>
  <si>
    <t xml:space="preserve">아세아세무</t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</si>
  <si>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세무기장</t>
    </r>
  </si>
  <si>
    <t xml:space="preserve">2026.08.05 16:39</t>
  </si>
  <si>
    <t xml:space="preserve">전기요금</t>
  </si>
  <si>
    <r>
      <rPr>
        <sz val="11"/>
        <rFont val="Arial"/>
        <family val="0"/>
        <charset val="1"/>
      </rPr>
      <t xml:space="preserve">07</t>
    </r>
    <r>
      <rPr>
        <sz val="11"/>
        <rFont val="Noto Sans CJK SC"/>
        <family val="2"/>
      </rPr>
      <t xml:space="preserve">월 전기요금</t>
    </r>
  </si>
  <si>
    <r>
      <rPr>
        <sz val="11"/>
        <color theme="1"/>
        <rFont val="Noto Sans CJK SC"/>
        <family val="2"/>
      </rPr>
      <t xml:space="preserve">수도광열비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전기</t>
    </r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</si>
  <si>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비용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은행 출금 기준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카테고리별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</si>
  <si>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아래 금액은 비용</t>
    </r>
    <r>
      <rPr>
        <i val="true"/>
        <sz val="9"/>
        <color rgb="FF6B7280"/>
        <rFont val="Arial"/>
        <family val="0"/>
        <charset val="1"/>
      </rPr>
      <t xml:space="preserve">_</t>
    </r>
    <r>
      <rPr>
        <i val="true"/>
        <sz val="9"/>
        <color rgb="FF6B7280"/>
        <rFont val="Noto Sans CJK SC"/>
        <family val="2"/>
      </rPr>
      <t xml:space="preserve">거래내역 시트를 </t>
    </r>
    <r>
      <rPr>
        <i val="true"/>
        <sz val="9"/>
        <color rgb="FF6B7280"/>
        <rFont val="Arial"/>
        <family val="0"/>
        <charset val="1"/>
      </rPr>
      <t xml:space="preserve">SUMIF</t>
    </r>
    <r>
      <rPr>
        <i val="true"/>
        <sz val="9"/>
        <color rgb="FF6B7280"/>
        <rFont val="Noto Sans CJK SC"/>
        <family val="2"/>
      </rPr>
      <t xml:space="preserve">로 집계한 값입니다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카테고리 재분류가 필요하면 비용</t>
    </r>
    <r>
      <rPr>
        <i val="true"/>
        <sz val="9"/>
        <color rgb="FF6B7280"/>
        <rFont val="Arial"/>
        <family val="0"/>
        <charset val="1"/>
      </rPr>
      <t xml:space="preserve">_</t>
    </r>
    <r>
      <rPr>
        <i val="true"/>
        <sz val="9"/>
        <color rgb="FF6B7280"/>
        <rFont val="Noto Sans CJK SC"/>
        <family val="2"/>
      </rPr>
      <t xml:space="preserve">거래내역의 </t>
    </r>
    <r>
      <rPr>
        <i val="true"/>
        <sz val="9"/>
        <color rgb="FF6B7280"/>
        <rFont val="Arial"/>
        <family val="0"/>
        <charset val="1"/>
      </rPr>
      <t xml:space="preserve">H</t>
    </r>
    <r>
      <rPr>
        <i val="true"/>
        <sz val="9"/>
        <color rgb="FF6B7280"/>
        <rFont val="Noto Sans CJK SC"/>
        <family val="2"/>
      </rPr>
      <t xml:space="preserve">열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카테고리</t>
    </r>
    <r>
      <rPr>
        <i val="true"/>
        <sz val="9"/>
        <color rgb="FF6B7280"/>
        <rFont val="Arial"/>
        <family val="0"/>
        <charset val="1"/>
      </rPr>
      <t xml:space="preserve">)</t>
    </r>
    <r>
      <rPr>
        <i val="true"/>
        <sz val="9"/>
        <color rgb="FF6B7280"/>
        <rFont val="Noto Sans CJK SC"/>
        <family val="2"/>
      </rPr>
      <t xml:space="preserve">을 수정하면 자동 반영됩니다</t>
    </r>
    <r>
      <rPr>
        <i val="true"/>
        <sz val="9"/>
        <color rgb="FF6B7280"/>
        <rFont val="Arial"/>
        <family val="0"/>
        <charset val="1"/>
      </rPr>
      <t xml:space="preserve">.</t>
    </r>
  </si>
  <si>
    <t xml:space="preserve">비용 항목</t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</si>
  <si>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급여</t>
    </r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</si>
  <si>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-4</t>
    </r>
    <r>
      <rPr>
        <sz val="11"/>
        <rFont val="Noto Sans CJK SC"/>
        <family val="2"/>
      </rPr>
      <t xml:space="preserve">대보험</t>
    </r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</si>
  <si>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퇴직연금</t>
    </r>
  </si>
  <si>
    <r>
      <rPr>
        <sz val="11"/>
        <rFont val="Noto Sans CJK SC"/>
        <family val="2"/>
      </rPr>
      <t xml:space="preserve">수도광열비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전기</t>
    </r>
  </si>
  <si>
    <r>
      <rPr>
        <sz val="11"/>
        <rFont val="Noto Sans CJK SC"/>
        <family val="2"/>
      </rPr>
      <t xml:space="preserve">수도광열비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수도</t>
    </r>
  </si>
  <si>
    <r>
      <rPr>
        <sz val="11"/>
        <rFont val="Noto Sans CJK SC"/>
        <family val="2"/>
      </rPr>
      <t xml:space="preserve">임차료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렌탈</t>
    </r>
  </si>
  <si>
    <r>
      <rPr>
        <sz val="11"/>
        <rFont val="Noto Sans CJK SC"/>
        <family val="2"/>
      </rPr>
      <t xml:space="preserve">보험료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일반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차량 등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</si>
  <si>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식대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</si>
  <si>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건강검진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</si>
  <si>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단체보험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</si>
  <si>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외주가공비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자재비</t>
    </r>
  </si>
  <si>
    <r>
      <rPr>
        <sz val="11"/>
        <rFont val="Noto Sans CJK SC"/>
        <family val="2"/>
      </rPr>
      <t xml:space="preserve">무형자산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개발비</t>
    </r>
  </si>
  <si>
    <r>
      <rPr>
        <sz val="11"/>
        <rFont val="Noto Sans CJK SC"/>
        <family val="2"/>
      </rPr>
      <t xml:space="preserve">수선비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광고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</si>
  <si>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환경측정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</si>
  <si>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세무기장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</si>
  <si>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-ERP</t>
    </r>
    <r>
      <rPr>
        <sz val="11"/>
        <rFont val="Noto Sans CJK SC"/>
        <family val="2"/>
      </rPr>
      <t xml:space="preserve">구독</t>
    </r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</si>
  <si>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노란우산공제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대표자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</si>
  <si>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확인필요</t>
    </r>
    <r>
      <rPr>
        <sz val="11"/>
        <rFont val="Arial"/>
        <family val="0"/>
        <charset val="1"/>
      </rPr>
      <t xml:space="preserve">)</t>
    </r>
  </si>
  <si>
    <t xml:space="preserve">영업비용 합계</t>
  </si>
  <si>
    <r>
      <rPr>
        <b val="true"/>
        <sz val="11"/>
        <rFont val="Noto Sans CJK SC"/>
        <family val="2"/>
      </rPr>
      <t xml:space="preserve">별도 참고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영업비용 아님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위 합계에서 제외됨</t>
    </r>
    <r>
      <rPr>
        <b val="true"/>
        <sz val="11"/>
        <rFont val="Arial"/>
        <family val="0"/>
        <charset val="1"/>
      </rPr>
      <t xml:space="preserve">)</t>
    </r>
  </si>
  <si>
    <t xml:space="preserve">항목</t>
  </si>
  <si>
    <r>
      <rPr>
        <i val="true"/>
        <sz val="9"/>
        <color rgb="FF6B7280"/>
        <rFont val="Noto Sans CJK SC"/>
        <family val="2"/>
      </rPr>
      <t xml:space="preserve">설비투자</t>
    </r>
    <r>
      <rPr>
        <i val="true"/>
        <sz val="9"/>
        <color rgb="FF6B7280"/>
        <rFont val="Arial"/>
        <family val="0"/>
        <charset val="1"/>
      </rPr>
      <t xml:space="preserve">(CAPEX)-</t>
    </r>
    <r>
      <rPr>
        <i val="true"/>
        <sz val="9"/>
        <color rgb="FF6B7280"/>
        <rFont val="Noto Sans CJK SC"/>
        <family val="2"/>
      </rPr>
      <t xml:space="preserve">비용아님</t>
    </r>
  </si>
  <si>
    <r>
      <rPr>
        <i val="true"/>
        <sz val="9"/>
        <color rgb="FF6B7280"/>
        <rFont val="Noto Sans CJK SC"/>
        <family val="2"/>
      </rPr>
      <t xml:space="preserve">매출채권 회수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수금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참고용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</si>
  <si>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계좌간 자금이체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참고용</t>
    </r>
    <r>
      <rPr>
        <i val="true"/>
        <sz val="9"/>
        <color rgb="FF6B728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</si>
</sst>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b val="true"/>
      <i val="true"/>
      <sz val="9"/>
      <color rgb="FF6B728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n">
        <f aca="false">'매출(ERP)'!D30</f>
        <v>55070630</v>
      </c>
    </row>
    <row r="5" customFormat="false" ht="17.15" hidden="false" customHeight="false" outlineLevel="0" collapsed="false">
      <c r="A5" s="3" t="s">
        <v>3</v>
      </c>
      <c r="B5" s="4" t="n">
        <f aca="false">비용_요약!B27</f>
        <v>73371083</v>
      </c>
    </row>
    <row r="6" customFormat="false" ht="17.15" hidden="false" customHeight="false" outlineLevel="0" collapsed="false">
      <c r="A6" s="5" t="s">
        <v>4</v>
      </c>
      <c r="B6" s="6" t="n">
        <f aca="false">B4-B5</f>
        <v>-18300453</v>
      </c>
    </row>
    <row r="8" customFormat="false" ht="17.15" hidden="false" customHeight="false" outlineLevel="0" collapsed="false">
      <c r="A8" s="5" t="s">
        <v>5</v>
      </c>
    </row>
    <row r="9" customFormat="false" ht="17.15" hidden="false" customHeight="false" outlineLevel="0" collapsed="false">
      <c r="A9" s="3" t="s">
        <v>6</v>
      </c>
      <c r="B9" s="7" t="n">
        <f aca="false">비용_요약!B31</f>
        <v>29480000</v>
      </c>
    </row>
    <row r="10" customFormat="false" ht="17.15" hidden="false" customHeight="false" outlineLevel="0" collapsed="false">
      <c r="A10" s="3" t="s">
        <v>7</v>
      </c>
      <c r="B10" s="7" t="n">
        <f aca="false">비용_요약!C32</f>
        <v>66159599</v>
      </c>
    </row>
    <row r="11" customFormat="false" ht="17.15" hidden="false" customHeight="false" outlineLevel="0" collapsed="false">
      <c r="A11" s="3" t="s">
        <v>8</v>
      </c>
      <c r="B11" s="7" t="n">
        <f aca="false">비용_요약!C33</f>
        <v>20000000</v>
      </c>
    </row>
    <row r="12" customFormat="false" ht="15" hidden="false" customHeight="false" outlineLevel="0" collapsed="false">
      <c r="A12" s="2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8" t="s">
        <v>11</v>
      </c>
    </row>
    <row r="16" customFormat="false" ht="15" hidden="false" customHeight="false" outlineLevel="0" collapsed="false">
      <c r="A16" s="8" t="s">
        <v>12</v>
      </c>
    </row>
    <row r="17" customFormat="false" ht="15" hidden="false" customHeight="false" outlineLevel="0" collapsed="false">
      <c r="A17" s="8" t="s">
        <v>13</v>
      </c>
    </row>
    <row r="18" customFormat="false" ht="15" hidden="false" customHeight="false" outlineLevel="0" collapsed="false">
      <c r="A18" s="8" t="s">
        <v>14</v>
      </c>
    </row>
    <row r="19" customFormat="false" ht="15" hidden="false" customHeight="false" outlineLevel="0" collapsed="false">
      <c r="A19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21.6" hidden="false" customHeight="false" outlineLevel="0" collapsed="false">
      <c r="A1" s="1" t="s">
        <v>16</v>
      </c>
    </row>
    <row r="2" customFormat="false" ht="15" hidden="false" customHeight="false" outlineLevel="0" collapsed="false">
      <c r="A2" s="9" t="s">
        <v>17</v>
      </c>
    </row>
    <row r="4" customFormat="false" ht="17.15" hidden="false" customHeight="false" outlineLevel="0" collapsed="false">
      <c r="A4" s="10" t="s">
        <v>18</v>
      </c>
      <c r="B4" s="10" t="s">
        <v>19</v>
      </c>
      <c r="C4" s="10" t="s">
        <v>20</v>
      </c>
      <c r="D4" s="10" t="s">
        <v>21</v>
      </c>
    </row>
    <row r="5" customFormat="false" ht="17.15" hidden="false" customHeight="false" outlineLevel="0" collapsed="false">
      <c r="A5" s="11" t="s">
        <v>22</v>
      </c>
      <c r="B5" s="11" t="s">
        <v>23</v>
      </c>
      <c r="C5" s="11" t="n">
        <v>157</v>
      </c>
      <c r="D5" s="12" t="n">
        <v>20219980</v>
      </c>
    </row>
    <row r="6" customFormat="false" ht="17.15" hidden="false" customHeight="false" outlineLevel="0" collapsed="false">
      <c r="A6" s="11" t="s">
        <v>22</v>
      </c>
      <c r="B6" s="11" t="s">
        <v>24</v>
      </c>
      <c r="C6" s="11" t="n">
        <v>68</v>
      </c>
      <c r="D6" s="12" t="n">
        <v>11158870</v>
      </c>
    </row>
    <row r="7" customFormat="false" ht="17.15" hidden="false" customHeight="false" outlineLevel="0" collapsed="false">
      <c r="A7" s="11" t="s">
        <v>25</v>
      </c>
      <c r="B7" s="11" t="s">
        <v>24</v>
      </c>
      <c r="C7" s="11" t="n">
        <v>32</v>
      </c>
      <c r="D7" s="12" t="n">
        <v>5959500</v>
      </c>
    </row>
    <row r="8" customFormat="false" ht="17.15" hidden="false" customHeight="false" outlineLevel="0" collapsed="false">
      <c r="A8" s="11" t="s">
        <v>25</v>
      </c>
      <c r="B8" s="11" t="s">
        <v>23</v>
      </c>
      <c r="C8" s="11" t="n">
        <v>35</v>
      </c>
      <c r="D8" s="12" t="n">
        <v>4046580</v>
      </c>
    </row>
    <row r="9" customFormat="false" ht="17.15" hidden="false" customHeight="false" outlineLevel="0" collapsed="false">
      <c r="A9" s="13" t="s">
        <v>26</v>
      </c>
      <c r="B9" s="11" t="s">
        <v>23</v>
      </c>
      <c r="C9" s="13" t="n">
        <v>11</v>
      </c>
      <c r="D9" s="12" t="n">
        <v>1669950</v>
      </c>
    </row>
    <row r="10" customFormat="false" ht="17.15" hidden="false" customHeight="false" outlineLevel="0" collapsed="false">
      <c r="A10" s="11" t="s">
        <v>27</v>
      </c>
      <c r="B10" s="11" t="s">
        <v>24</v>
      </c>
      <c r="C10" s="13" t="n">
        <v>6</v>
      </c>
      <c r="D10" s="12" t="n">
        <v>1289800</v>
      </c>
    </row>
    <row r="11" customFormat="false" ht="17.15" hidden="false" customHeight="false" outlineLevel="0" collapsed="false">
      <c r="A11" s="13" t="s">
        <v>28</v>
      </c>
      <c r="B11" s="11" t="s">
        <v>23</v>
      </c>
      <c r="C11" s="13" t="n">
        <v>5</v>
      </c>
      <c r="D11" s="12" t="n">
        <v>1105800</v>
      </c>
    </row>
    <row r="12" customFormat="false" ht="17.15" hidden="false" customHeight="false" outlineLevel="0" collapsed="false">
      <c r="A12" s="13" t="s">
        <v>29</v>
      </c>
      <c r="B12" s="11" t="s">
        <v>30</v>
      </c>
      <c r="C12" s="13" t="n">
        <v>4</v>
      </c>
      <c r="D12" s="12" t="n">
        <v>1020000</v>
      </c>
    </row>
    <row r="13" customFormat="false" ht="17.15" hidden="false" customHeight="false" outlineLevel="0" collapsed="false">
      <c r="A13" s="11" t="s">
        <v>31</v>
      </c>
      <c r="B13" s="11" t="s">
        <v>23</v>
      </c>
      <c r="C13" s="13" t="n">
        <v>3</v>
      </c>
      <c r="D13" s="12" t="n">
        <v>919200</v>
      </c>
    </row>
    <row r="14" customFormat="false" ht="17.15" hidden="false" customHeight="false" outlineLevel="0" collapsed="false">
      <c r="A14" s="13" t="s">
        <v>32</v>
      </c>
      <c r="B14" s="11" t="s">
        <v>24</v>
      </c>
      <c r="C14" s="13" t="n">
        <v>5</v>
      </c>
      <c r="D14" s="12" t="n">
        <v>733000</v>
      </c>
    </row>
    <row r="15" customFormat="false" ht="17.15" hidden="false" customHeight="false" outlineLevel="0" collapsed="false">
      <c r="A15" s="13" t="s">
        <v>28</v>
      </c>
      <c r="B15" s="11" t="s">
        <v>30</v>
      </c>
      <c r="C15" s="13" t="n">
        <v>2</v>
      </c>
      <c r="D15" s="12" t="n">
        <v>676400</v>
      </c>
    </row>
    <row r="16" customFormat="false" ht="17.15" hidden="false" customHeight="false" outlineLevel="0" collapsed="false">
      <c r="A16" s="11" t="s">
        <v>33</v>
      </c>
      <c r="B16" s="11" t="s">
        <v>23</v>
      </c>
      <c r="C16" s="13" t="n">
        <v>4</v>
      </c>
      <c r="D16" s="12" t="n">
        <v>670800</v>
      </c>
    </row>
    <row r="17" customFormat="false" ht="17.15" hidden="false" customHeight="false" outlineLevel="0" collapsed="false">
      <c r="A17" s="13" t="s">
        <v>28</v>
      </c>
      <c r="B17" s="11" t="s">
        <v>24</v>
      </c>
      <c r="C17" s="13" t="n">
        <v>3</v>
      </c>
      <c r="D17" s="12" t="n">
        <v>658400</v>
      </c>
    </row>
    <row r="18" customFormat="false" ht="17.15" hidden="false" customHeight="false" outlineLevel="0" collapsed="false">
      <c r="A18" s="11" t="s">
        <v>34</v>
      </c>
      <c r="B18" s="11" t="s">
        <v>24</v>
      </c>
      <c r="C18" s="13" t="n">
        <v>4</v>
      </c>
      <c r="D18" s="12" t="n">
        <v>635100</v>
      </c>
    </row>
    <row r="19" customFormat="false" ht="17.15" hidden="false" customHeight="false" outlineLevel="0" collapsed="false">
      <c r="A19" s="11" t="s">
        <v>35</v>
      </c>
      <c r="B19" s="11" t="s">
        <v>24</v>
      </c>
      <c r="C19" s="13" t="n">
        <v>4</v>
      </c>
      <c r="D19" s="12" t="n">
        <v>630750</v>
      </c>
    </row>
    <row r="20" customFormat="false" ht="17.15" hidden="false" customHeight="false" outlineLevel="0" collapsed="false">
      <c r="A20" s="11" t="s">
        <v>33</v>
      </c>
      <c r="B20" s="11" t="s">
        <v>24</v>
      </c>
      <c r="C20" s="13" t="n">
        <v>4</v>
      </c>
      <c r="D20" s="12" t="n">
        <v>585000</v>
      </c>
    </row>
    <row r="21" customFormat="false" ht="17.15" hidden="false" customHeight="false" outlineLevel="0" collapsed="false">
      <c r="A21" s="11" t="s">
        <v>25</v>
      </c>
      <c r="B21" s="11" t="s">
        <v>30</v>
      </c>
      <c r="C21" s="13" t="n">
        <v>1</v>
      </c>
      <c r="D21" s="12" t="n">
        <v>508650</v>
      </c>
    </row>
    <row r="22" customFormat="false" ht="17.15" hidden="false" customHeight="false" outlineLevel="0" collapsed="false">
      <c r="A22" s="11" t="s">
        <v>22</v>
      </c>
      <c r="B22" s="11" t="s">
        <v>30</v>
      </c>
      <c r="C22" s="13" t="n">
        <v>1</v>
      </c>
      <c r="D22" s="12" t="n">
        <v>473450</v>
      </c>
    </row>
    <row r="23" customFormat="false" ht="17.15" hidden="false" customHeight="false" outlineLevel="0" collapsed="false">
      <c r="A23" s="11" t="s">
        <v>36</v>
      </c>
      <c r="B23" s="11" t="s">
        <v>24</v>
      </c>
      <c r="C23" s="13" t="n">
        <v>2</v>
      </c>
      <c r="D23" s="12" t="n">
        <v>414800</v>
      </c>
    </row>
    <row r="24" customFormat="false" ht="17.15" hidden="false" customHeight="false" outlineLevel="0" collapsed="false">
      <c r="A24" s="13" t="s">
        <v>26</v>
      </c>
      <c r="B24" s="11" t="s">
        <v>24</v>
      </c>
      <c r="C24" s="13" t="n">
        <v>2</v>
      </c>
      <c r="D24" s="12" t="n">
        <v>400200</v>
      </c>
    </row>
    <row r="25" customFormat="false" ht="17.15" hidden="false" customHeight="false" outlineLevel="0" collapsed="false">
      <c r="A25" s="11" t="s">
        <v>37</v>
      </c>
      <c r="B25" s="11" t="s">
        <v>30</v>
      </c>
      <c r="C25" s="13" t="n">
        <v>1</v>
      </c>
      <c r="D25" s="12" t="n">
        <v>400000</v>
      </c>
    </row>
    <row r="26" customFormat="false" ht="17.15" hidden="false" customHeight="false" outlineLevel="0" collapsed="false">
      <c r="A26" s="11" t="s">
        <v>38</v>
      </c>
      <c r="B26" s="11" t="s">
        <v>30</v>
      </c>
      <c r="C26" s="13" t="n">
        <v>1</v>
      </c>
      <c r="D26" s="12" t="n">
        <v>325000</v>
      </c>
    </row>
    <row r="27" customFormat="false" ht="17.15" hidden="false" customHeight="false" outlineLevel="0" collapsed="false">
      <c r="A27" s="11" t="s">
        <v>38</v>
      </c>
      <c r="B27" s="11" t="s">
        <v>23</v>
      </c>
      <c r="C27" s="13" t="n">
        <v>2</v>
      </c>
      <c r="D27" s="12" t="n">
        <v>240000</v>
      </c>
    </row>
    <row r="28" customFormat="false" ht="17.15" hidden="false" customHeight="false" outlineLevel="0" collapsed="false">
      <c r="A28" s="11" t="s">
        <v>27</v>
      </c>
      <c r="B28" s="11" t="s">
        <v>23</v>
      </c>
      <c r="C28" s="13" t="n">
        <v>1</v>
      </c>
      <c r="D28" s="12" t="n">
        <v>182400</v>
      </c>
    </row>
    <row r="29" customFormat="false" ht="17.15" hidden="false" customHeight="false" outlineLevel="0" collapsed="false">
      <c r="A29" s="13" t="s">
        <v>39</v>
      </c>
      <c r="B29" s="11" t="s">
        <v>23</v>
      </c>
      <c r="C29" s="13" t="n">
        <v>1</v>
      </c>
      <c r="D29" s="12" t="n">
        <v>147000</v>
      </c>
    </row>
    <row r="30" customFormat="false" ht="15" hidden="false" customHeight="false" outlineLevel="0" collapsed="false">
      <c r="A30" s="14" t="s">
        <v>40</v>
      </c>
      <c r="B30" s="15"/>
      <c r="C30" s="14" t="n">
        <f aca="false">SUM(C5:C29)</f>
        <v>359</v>
      </c>
      <c r="D30" s="16" t="n">
        <f aca="false">SUM(D5:D29)</f>
        <v>55070630</v>
      </c>
    </row>
    <row r="32" customFormat="false" ht="17.15" hidden="false" customHeight="false" outlineLevel="0" collapsed="false">
      <c r="A32" s="5" t="s">
        <v>41</v>
      </c>
    </row>
    <row r="33" customFormat="false" ht="15" hidden="false" customHeight="false" outlineLevel="0" collapsed="false">
      <c r="A33" s="17" t="s">
        <v>23</v>
      </c>
      <c r="B33" s="7" t="n">
        <f aca="false">SUMIF($B$5:$B$29,A33,$D$5:$D$29)</f>
        <v>29201710</v>
      </c>
    </row>
    <row r="34" customFormat="false" ht="15" hidden="false" customHeight="false" outlineLevel="0" collapsed="false">
      <c r="A34" s="17" t="s">
        <v>24</v>
      </c>
      <c r="B34" s="7" t="n">
        <f aca="false">SUMIF($B$5:$B$29,A34,$D$5:$D$29)</f>
        <v>22465420</v>
      </c>
    </row>
    <row r="35" customFormat="false" ht="15" hidden="false" customHeight="false" outlineLevel="0" collapsed="false">
      <c r="A35" s="17" t="s">
        <v>30</v>
      </c>
      <c r="B35" s="7" t="n">
        <f aca="false">SUMIF($B$5:$B$29,A35,$D$5:$D$29)</f>
        <v>3403500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7" min="5" style="0" width="12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18" t="s">
        <v>42</v>
      </c>
    </row>
    <row r="2" customFormat="false" ht="15" hidden="false" customHeight="false" outlineLevel="0" collapsed="false">
      <c r="A2" s="9" t="s">
        <v>43</v>
      </c>
    </row>
    <row r="4" customFormat="false" ht="15" hidden="false" customHeight="false" outlineLevel="0" collapsed="false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</row>
    <row r="5" customFormat="false" ht="17.15" hidden="false" customHeight="false" outlineLevel="0" collapsed="false">
      <c r="A5" s="19" t="s">
        <v>52</v>
      </c>
      <c r="B5" s="20" t="s">
        <v>53</v>
      </c>
      <c r="C5" s="19" t="s">
        <v>54</v>
      </c>
      <c r="D5" s="20" t="s">
        <v>25</v>
      </c>
      <c r="E5" s="21" t="n">
        <v>0</v>
      </c>
      <c r="F5" s="21" t="n">
        <v>4311934</v>
      </c>
      <c r="G5" s="21" t="n">
        <v>64516597</v>
      </c>
      <c r="H5" s="22" t="s">
        <v>55</v>
      </c>
    </row>
    <row r="6" customFormat="false" ht="17.15" hidden="false" customHeight="false" outlineLevel="0" collapsed="false">
      <c r="A6" s="19" t="s">
        <v>52</v>
      </c>
      <c r="B6" s="20" t="s">
        <v>56</v>
      </c>
      <c r="C6" s="19" t="s">
        <v>54</v>
      </c>
      <c r="D6" s="20" t="s">
        <v>57</v>
      </c>
      <c r="E6" s="21" t="n">
        <v>0</v>
      </c>
      <c r="F6" s="21" t="n">
        <v>192500</v>
      </c>
      <c r="G6" s="21" t="n">
        <v>60204663</v>
      </c>
      <c r="H6" s="22" t="s">
        <v>55</v>
      </c>
    </row>
    <row r="7" customFormat="false" ht="17.15" hidden="false" customHeight="false" outlineLevel="0" collapsed="false">
      <c r="A7" s="13" t="s">
        <v>52</v>
      </c>
      <c r="B7" s="11" t="s">
        <v>58</v>
      </c>
      <c r="C7" s="13" t="s">
        <v>59</v>
      </c>
      <c r="D7" s="13" t="s">
        <v>60</v>
      </c>
      <c r="E7" s="23" t="n">
        <v>200000</v>
      </c>
      <c r="F7" s="23" t="n">
        <v>0</v>
      </c>
      <c r="G7" s="23" t="n">
        <v>60012163</v>
      </c>
      <c r="H7" s="24" t="s">
        <v>61</v>
      </c>
    </row>
    <row r="8" customFormat="false" ht="17.15" hidden="false" customHeight="false" outlineLevel="0" collapsed="false">
      <c r="A8" s="13" t="s">
        <v>52</v>
      </c>
      <c r="B8" s="11" t="s">
        <v>62</v>
      </c>
      <c r="C8" s="13" t="s">
        <v>59</v>
      </c>
      <c r="D8" s="13" t="s">
        <v>63</v>
      </c>
      <c r="E8" s="23" t="n">
        <v>1265880</v>
      </c>
      <c r="F8" s="23" t="n">
        <v>0</v>
      </c>
      <c r="G8" s="23" t="n">
        <v>60212163</v>
      </c>
      <c r="H8" s="24" t="s">
        <v>64</v>
      </c>
    </row>
    <row r="9" customFormat="false" ht="17.15" hidden="false" customHeight="false" outlineLevel="0" collapsed="false">
      <c r="A9" s="13" t="s">
        <v>52</v>
      </c>
      <c r="B9" s="11" t="s">
        <v>65</v>
      </c>
      <c r="C9" s="13" t="s">
        <v>66</v>
      </c>
      <c r="D9" s="13" t="s">
        <v>67</v>
      </c>
      <c r="E9" s="23" t="n">
        <v>1694550</v>
      </c>
      <c r="F9" s="23" t="n">
        <v>0</v>
      </c>
      <c r="G9" s="23" t="n">
        <v>61478043</v>
      </c>
      <c r="H9" s="24" t="s">
        <v>68</v>
      </c>
    </row>
    <row r="10" customFormat="false" ht="17.15" hidden="false" customHeight="false" outlineLevel="0" collapsed="false">
      <c r="A10" s="13" t="s">
        <v>52</v>
      </c>
      <c r="B10" s="11" t="s">
        <v>69</v>
      </c>
      <c r="C10" s="13" t="s">
        <v>70</v>
      </c>
      <c r="D10" s="13" t="s">
        <v>71</v>
      </c>
      <c r="E10" s="23" t="n">
        <v>330000</v>
      </c>
      <c r="F10" s="23" t="n">
        <v>0</v>
      </c>
      <c r="G10" s="23" t="n">
        <v>63172593</v>
      </c>
      <c r="H10" s="25" t="s">
        <v>72</v>
      </c>
    </row>
    <row r="11" customFormat="false" ht="17.15" hidden="false" customHeight="false" outlineLevel="0" collapsed="false">
      <c r="A11" s="19" t="s">
        <v>52</v>
      </c>
      <c r="B11" s="20" t="s">
        <v>73</v>
      </c>
      <c r="C11" s="19" t="s">
        <v>54</v>
      </c>
      <c r="D11" s="20" t="s">
        <v>74</v>
      </c>
      <c r="E11" s="21" t="n">
        <v>0</v>
      </c>
      <c r="F11" s="21" t="n">
        <v>849200</v>
      </c>
      <c r="G11" s="21" t="n">
        <v>63502593</v>
      </c>
      <c r="H11" s="22" t="s">
        <v>55</v>
      </c>
    </row>
    <row r="12" customFormat="false" ht="17.15" hidden="false" customHeight="false" outlineLevel="0" collapsed="false">
      <c r="A12" s="19" t="s">
        <v>52</v>
      </c>
      <c r="B12" s="20" t="s">
        <v>75</v>
      </c>
      <c r="C12" s="19" t="s">
        <v>54</v>
      </c>
      <c r="D12" s="19" t="s">
        <v>76</v>
      </c>
      <c r="E12" s="21" t="n">
        <v>0</v>
      </c>
      <c r="F12" s="21" t="n">
        <v>234960</v>
      </c>
      <c r="G12" s="21" t="n">
        <v>62653393</v>
      </c>
      <c r="H12" s="22" t="s">
        <v>55</v>
      </c>
    </row>
    <row r="13" customFormat="false" ht="17.15" hidden="false" customHeight="false" outlineLevel="0" collapsed="false">
      <c r="A13" s="19" t="s">
        <v>52</v>
      </c>
      <c r="B13" s="20" t="s">
        <v>77</v>
      </c>
      <c r="C13" s="19" t="s">
        <v>54</v>
      </c>
      <c r="D13" s="20" t="s">
        <v>33</v>
      </c>
      <c r="E13" s="21" t="n">
        <v>0</v>
      </c>
      <c r="F13" s="21" t="n">
        <v>547140</v>
      </c>
      <c r="G13" s="21" t="n">
        <v>62418433</v>
      </c>
      <c r="H13" s="22" t="s">
        <v>55</v>
      </c>
    </row>
    <row r="14" customFormat="false" ht="17.15" hidden="false" customHeight="false" outlineLevel="0" collapsed="false">
      <c r="A14" s="19" t="s">
        <v>52</v>
      </c>
      <c r="B14" s="20" t="s">
        <v>78</v>
      </c>
      <c r="C14" s="19" t="s">
        <v>54</v>
      </c>
      <c r="D14" s="19" t="s">
        <v>79</v>
      </c>
      <c r="E14" s="21" t="n">
        <v>0</v>
      </c>
      <c r="F14" s="21" t="n">
        <v>2799170</v>
      </c>
      <c r="G14" s="21" t="n">
        <v>61871293</v>
      </c>
      <c r="H14" s="22" t="s">
        <v>55</v>
      </c>
    </row>
    <row r="15" customFormat="false" ht="17.15" hidden="false" customHeight="false" outlineLevel="0" collapsed="false">
      <c r="A15" s="19" t="s">
        <v>52</v>
      </c>
      <c r="B15" s="20" t="s">
        <v>80</v>
      </c>
      <c r="C15" s="19" t="s">
        <v>54</v>
      </c>
      <c r="D15" s="20" t="s">
        <v>27</v>
      </c>
      <c r="E15" s="21" t="n">
        <v>0</v>
      </c>
      <c r="F15" s="21" t="n">
        <v>2669524</v>
      </c>
      <c r="G15" s="21" t="n">
        <v>59072123</v>
      </c>
      <c r="H15" s="22" t="s">
        <v>55</v>
      </c>
    </row>
    <row r="16" customFormat="false" ht="17.15" hidden="false" customHeight="false" outlineLevel="0" collapsed="false">
      <c r="A16" s="13" t="s">
        <v>52</v>
      </c>
      <c r="B16" s="11" t="s">
        <v>81</v>
      </c>
      <c r="C16" s="13" t="s">
        <v>66</v>
      </c>
      <c r="D16" s="13" t="s">
        <v>82</v>
      </c>
      <c r="E16" s="23" t="n">
        <v>500000</v>
      </c>
      <c r="F16" s="23" t="n">
        <v>0</v>
      </c>
      <c r="G16" s="23" t="n">
        <v>56402599</v>
      </c>
      <c r="H16" s="24" t="s">
        <v>83</v>
      </c>
    </row>
    <row r="17" customFormat="false" ht="17.15" hidden="false" customHeight="false" outlineLevel="0" collapsed="false">
      <c r="A17" s="13" t="s">
        <v>52</v>
      </c>
      <c r="B17" s="11" t="s">
        <v>84</v>
      </c>
      <c r="C17" s="13" t="s">
        <v>66</v>
      </c>
      <c r="D17" s="13" t="s">
        <v>82</v>
      </c>
      <c r="E17" s="23" t="n">
        <v>1700000</v>
      </c>
      <c r="F17" s="23" t="n">
        <v>0</v>
      </c>
      <c r="G17" s="23" t="n">
        <v>56902599</v>
      </c>
      <c r="H17" s="24" t="s">
        <v>83</v>
      </c>
    </row>
    <row r="18" customFormat="false" ht="17.15" hidden="false" customHeight="false" outlineLevel="0" collapsed="false">
      <c r="A18" s="19" t="s">
        <v>52</v>
      </c>
      <c r="B18" s="20" t="s">
        <v>85</v>
      </c>
      <c r="C18" s="19" t="s">
        <v>54</v>
      </c>
      <c r="D18" s="19" t="s">
        <v>32</v>
      </c>
      <c r="E18" s="21" t="n">
        <v>0</v>
      </c>
      <c r="F18" s="21" t="n">
        <v>2447456</v>
      </c>
      <c r="G18" s="21" t="n">
        <v>58602599</v>
      </c>
      <c r="H18" s="22" t="s">
        <v>55</v>
      </c>
    </row>
    <row r="19" customFormat="false" ht="15" hidden="false" customHeight="false" outlineLevel="0" collapsed="false">
      <c r="A19" s="13" t="s">
        <v>52</v>
      </c>
      <c r="B19" s="11" t="s">
        <v>86</v>
      </c>
      <c r="C19" s="13" t="s">
        <v>87</v>
      </c>
      <c r="D19" s="11" t="s">
        <v>88</v>
      </c>
      <c r="E19" s="23" t="n">
        <v>6550</v>
      </c>
      <c r="F19" s="23" t="n">
        <v>0</v>
      </c>
      <c r="G19" s="23" t="n">
        <v>56155143</v>
      </c>
      <c r="H19" s="24" t="s">
        <v>89</v>
      </c>
    </row>
    <row r="20" customFormat="false" ht="17.15" hidden="false" customHeight="false" outlineLevel="0" collapsed="false">
      <c r="A20" s="19" t="s">
        <v>52</v>
      </c>
      <c r="B20" s="20" t="s">
        <v>90</v>
      </c>
      <c r="C20" s="19" t="s">
        <v>59</v>
      </c>
      <c r="D20" s="19" t="s">
        <v>91</v>
      </c>
      <c r="E20" s="21" t="n">
        <v>29480000</v>
      </c>
      <c r="F20" s="21" t="n">
        <v>0</v>
      </c>
      <c r="G20" s="21" t="n">
        <v>56161693</v>
      </c>
      <c r="H20" s="22" t="s">
        <v>92</v>
      </c>
    </row>
    <row r="21" customFormat="false" ht="17.15" hidden="false" customHeight="false" outlineLevel="0" collapsed="false">
      <c r="A21" s="13" t="s">
        <v>52</v>
      </c>
      <c r="B21" s="11" t="s">
        <v>93</v>
      </c>
      <c r="C21" s="11" t="s">
        <v>94</v>
      </c>
      <c r="D21" s="13" t="s">
        <v>95</v>
      </c>
      <c r="E21" s="23" t="n">
        <v>250000</v>
      </c>
      <c r="F21" s="23" t="n">
        <v>0</v>
      </c>
      <c r="G21" s="23" t="n">
        <v>85641693</v>
      </c>
      <c r="H21" s="24" t="s">
        <v>96</v>
      </c>
    </row>
    <row r="22" customFormat="false" ht="17.15" hidden="false" customHeight="false" outlineLevel="0" collapsed="false">
      <c r="A22" s="13" t="s">
        <v>52</v>
      </c>
      <c r="B22" s="11" t="s">
        <v>97</v>
      </c>
      <c r="C22" s="11" t="s">
        <v>98</v>
      </c>
      <c r="D22" s="11" t="s">
        <v>99</v>
      </c>
      <c r="E22" s="23" t="n">
        <v>121000</v>
      </c>
      <c r="F22" s="23" t="n">
        <v>0</v>
      </c>
      <c r="G22" s="23" t="n">
        <v>85891693</v>
      </c>
      <c r="H22" s="25" t="s">
        <v>72</v>
      </c>
    </row>
    <row r="23" customFormat="false" ht="15" hidden="false" customHeight="false" outlineLevel="0" collapsed="false">
      <c r="A23" s="13" t="s">
        <v>52</v>
      </c>
      <c r="B23" s="11" t="s">
        <v>100</v>
      </c>
      <c r="C23" s="13" t="s">
        <v>87</v>
      </c>
      <c r="D23" s="11" t="s">
        <v>101</v>
      </c>
      <c r="E23" s="23" t="n">
        <v>80410</v>
      </c>
      <c r="F23" s="23" t="n">
        <v>0</v>
      </c>
      <c r="G23" s="23" t="n">
        <v>86012693</v>
      </c>
      <c r="H23" s="24" t="s">
        <v>89</v>
      </c>
    </row>
    <row r="24" customFormat="false" ht="15" hidden="false" customHeight="false" outlineLevel="0" collapsed="false">
      <c r="A24" s="13" t="s">
        <v>52</v>
      </c>
      <c r="B24" s="11" t="s">
        <v>102</v>
      </c>
      <c r="C24" s="13" t="s">
        <v>87</v>
      </c>
      <c r="D24" s="11" t="s">
        <v>103</v>
      </c>
      <c r="E24" s="23" t="n">
        <v>5660</v>
      </c>
      <c r="F24" s="23" t="n">
        <v>0</v>
      </c>
      <c r="G24" s="23" t="n">
        <v>86093103</v>
      </c>
      <c r="H24" s="24" t="s">
        <v>89</v>
      </c>
    </row>
    <row r="25" customFormat="false" ht="15" hidden="false" customHeight="false" outlineLevel="0" collapsed="false">
      <c r="A25" s="13" t="s">
        <v>52</v>
      </c>
      <c r="B25" s="11" t="s">
        <v>104</v>
      </c>
      <c r="C25" s="13" t="s">
        <v>105</v>
      </c>
      <c r="D25" s="13" t="s">
        <v>106</v>
      </c>
      <c r="E25" s="23" t="n">
        <v>462530</v>
      </c>
      <c r="F25" s="23" t="n">
        <v>0</v>
      </c>
      <c r="G25" s="23" t="n">
        <v>86098763</v>
      </c>
      <c r="H25" s="24" t="s">
        <v>107</v>
      </c>
    </row>
    <row r="26" customFormat="false" ht="17.15" hidden="false" customHeight="false" outlineLevel="0" collapsed="false">
      <c r="A26" s="13" t="s">
        <v>52</v>
      </c>
      <c r="B26" s="11" t="s">
        <v>108</v>
      </c>
      <c r="C26" s="11" t="s">
        <v>94</v>
      </c>
      <c r="D26" s="11" t="s">
        <v>109</v>
      </c>
      <c r="E26" s="23" t="n">
        <v>173900</v>
      </c>
      <c r="F26" s="23" t="n">
        <v>0</v>
      </c>
      <c r="G26" s="23" t="n">
        <v>86561293</v>
      </c>
      <c r="H26" s="24" t="s">
        <v>110</v>
      </c>
    </row>
    <row r="27" customFormat="false" ht="17.15" hidden="false" customHeight="false" outlineLevel="0" collapsed="false">
      <c r="A27" s="13" t="s">
        <v>52</v>
      </c>
      <c r="B27" s="11" t="s">
        <v>108</v>
      </c>
      <c r="C27" s="11" t="s">
        <v>94</v>
      </c>
      <c r="D27" s="11" t="s">
        <v>111</v>
      </c>
      <c r="E27" s="23" t="n">
        <v>173900</v>
      </c>
      <c r="F27" s="23" t="n">
        <v>0</v>
      </c>
      <c r="G27" s="23" t="n">
        <v>86735193</v>
      </c>
      <c r="H27" s="24" t="s">
        <v>110</v>
      </c>
    </row>
    <row r="28" customFormat="false" ht="17.15" hidden="false" customHeight="false" outlineLevel="0" collapsed="false">
      <c r="A28" s="13" t="s">
        <v>52</v>
      </c>
      <c r="B28" s="11" t="s">
        <v>112</v>
      </c>
      <c r="C28" s="11" t="s">
        <v>94</v>
      </c>
      <c r="D28" s="11" t="s">
        <v>113</v>
      </c>
      <c r="E28" s="23" t="n">
        <v>173900</v>
      </c>
      <c r="F28" s="23" t="n">
        <v>0</v>
      </c>
      <c r="G28" s="23" t="n">
        <v>86909093</v>
      </c>
      <c r="H28" s="24" t="s">
        <v>110</v>
      </c>
    </row>
    <row r="29" customFormat="false" ht="17.15" hidden="false" customHeight="false" outlineLevel="0" collapsed="false">
      <c r="A29" s="13" t="s">
        <v>52</v>
      </c>
      <c r="B29" s="11" t="s">
        <v>112</v>
      </c>
      <c r="C29" s="11" t="s">
        <v>94</v>
      </c>
      <c r="D29" s="11" t="s">
        <v>114</v>
      </c>
      <c r="E29" s="23" t="n">
        <v>173900</v>
      </c>
      <c r="F29" s="23" t="n">
        <v>0</v>
      </c>
      <c r="G29" s="23" t="n">
        <v>87082993</v>
      </c>
      <c r="H29" s="24" t="s">
        <v>110</v>
      </c>
    </row>
    <row r="30" customFormat="false" ht="17.15" hidden="false" customHeight="false" outlineLevel="0" collapsed="false">
      <c r="A30" s="13" t="s">
        <v>52</v>
      </c>
      <c r="B30" s="11" t="s">
        <v>112</v>
      </c>
      <c r="C30" s="11" t="s">
        <v>94</v>
      </c>
      <c r="D30" s="11" t="s">
        <v>115</v>
      </c>
      <c r="E30" s="23" t="n">
        <v>175000</v>
      </c>
      <c r="F30" s="23" t="n">
        <v>0</v>
      </c>
      <c r="G30" s="23" t="n">
        <v>87256893</v>
      </c>
      <c r="H30" s="24" t="s">
        <v>110</v>
      </c>
    </row>
    <row r="31" customFormat="false" ht="17.15" hidden="false" customHeight="false" outlineLevel="0" collapsed="false">
      <c r="A31" s="13" t="s">
        <v>52</v>
      </c>
      <c r="B31" s="11" t="s">
        <v>116</v>
      </c>
      <c r="C31" s="13" t="s">
        <v>117</v>
      </c>
      <c r="D31" s="13" t="s">
        <v>118</v>
      </c>
      <c r="E31" s="23" t="n">
        <v>57800</v>
      </c>
      <c r="F31" s="23" t="n">
        <v>0</v>
      </c>
      <c r="G31" s="23" t="n">
        <v>87431893</v>
      </c>
      <c r="H31" s="24" t="s">
        <v>64</v>
      </c>
    </row>
    <row r="32" customFormat="false" ht="17.15" hidden="false" customHeight="false" outlineLevel="0" collapsed="false">
      <c r="A32" s="13" t="s">
        <v>52</v>
      </c>
      <c r="B32" s="11" t="s">
        <v>119</v>
      </c>
      <c r="C32" s="13" t="s">
        <v>59</v>
      </c>
      <c r="D32" s="13" t="s">
        <v>120</v>
      </c>
      <c r="E32" s="23" t="n">
        <v>29296</v>
      </c>
      <c r="F32" s="23" t="n">
        <v>0</v>
      </c>
      <c r="G32" s="23" t="n">
        <v>87489693</v>
      </c>
      <c r="H32" s="24" t="s">
        <v>121</v>
      </c>
    </row>
    <row r="33" customFormat="false" ht="17.15" hidden="false" customHeight="false" outlineLevel="0" collapsed="false">
      <c r="A33" s="13" t="s">
        <v>52</v>
      </c>
      <c r="B33" s="11" t="s">
        <v>122</v>
      </c>
      <c r="C33" s="13" t="s">
        <v>123</v>
      </c>
      <c r="D33" s="13" t="s">
        <v>124</v>
      </c>
      <c r="E33" s="23" t="n">
        <v>2200000</v>
      </c>
      <c r="F33" s="23" t="n">
        <v>0</v>
      </c>
      <c r="G33" s="23" t="n">
        <v>87518989</v>
      </c>
      <c r="H33" s="24" t="s">
        <v>125</v>
      </c>
    </row>
    <row r="34" customFormat="false" ht="17.15" hidden="false" customHeight="false" outlineLevel="0" collapsed="false">
      <c r="A34" s="13" t="s">
        <v>52</v>
      </c>
      <c r="B34" s="11" t="s">
        <v>122</v>
      </c>
      <c r="C34" s="13" t="s">
        <v>59</v>
      </c>
      <c r="D34" s="13" t="s">
        <v>126</v>
      </c>
      <c r="E34" s="23" t="n">
        <v>200000</v>
      </c>
      <c r="F34" s="23" t="n">
        <v>0</v>
      </c>
      <c r="G34" s="23" t="n">
        <v>89718989</v>
      </c>
      <c r="H34" s="24" t="s">
        <v>61</v>
      </c>
    </row>
    <row r="35" customFormat="false" ht="17.15" hidden="false" customHeight="false" outlineLevel="0" collapsed="false">
      <c r="A35" s="19" t="s">
        <v>52</v>
      </c>
      <c r="B35" s="20" t="s">
        <v>127</v>
      </c>
      <c r="C35" s="19" t="s">
        <v>54</v>
      </c>
      <c r="D35" s="20" t="s">
        <v>22</v>
      </c>
      <c r="E35" s="21" t="n">
        <v>0</v>
      </c>
      <c r="F35" s="21" t="n">
        <v>45174459</v>
      </c>
      <c r="G35" s="21" t="n">
        <v>89918989</v>
      </c>
      <c r="H35" s="22" t="s">
        <v>55</v>
      </c>
    </row>
    <row r="36" customFormat="false" ht="17.15" hidden="false" customHeight="false" outlineLevel="0" collapsed="false">
      <c r="A36" s="13" t="s">
        <v>52</v>
      </c>
      <c r="B36" s="11" t="s">
        <v>128</v>
      </c>
      <c r="C36" s="13" t="s">
        <v>129</v>
      </c>
      <c r="D36" s="13" t="s">
        <v>130</v>
      </c>
      <c r="E36" s="23" t="n">
        <v>341940</v>
      </c>
      <c r="F36" s="23" t="n">
        <v>0</v>
      </c>
      <c r="G36" s="23" t="n">
        <v>44744530</v>
      </c>
      <c r="H36" s="24" t="s">
        <v>131</v>
      </c>
    </row>
    <row r="37" customFormat="false" ht="17.15" hidden="false" customHeight="false" outlineLevel="0" collapsed="false">
      <c r="A37" s="19" t="s">
        <v>52</v>
      </c>
      <c r="B37" s="20" t="s">
        <v>132</v>
      </c>
      <c r="C37" s="19" t="s">
        <v>54</v>
      </c>
      <c r="D37" s="20" t="s">
        <v>133</v>
      </c>
      <c r="E37" s="21" t="n">
        <v>0</v>
      </c>
      <c r="F37" s="21" t="n">
        <v>1669580</v>
      </c>
      <c r="G37" s="21" t="n">
        <v>45086470</v>
      </c>
      <c r="H37" s="22" t="s">
        <v>55</v>
      </c>
    </row>
    <row r="38" customFormat="false" ht="17.15" hidden="false" customHeight="false" outlineLevel="0" collapsed="false">
      <c r="A38" s="13" t="s">
        <v>52</v>
      </c>
      <c r="B38" s="11" t="s">
        <v>134</v>
      </c>
      <c r="C38" s="11" t="s">
        <v>94</v>
      </c>
      <c r="D38" s="13" t="s">
        <v>135</v>
      </c>
      <c r="E38" s="23" t="n">
        <v>29700</v>
      </c>
      <c r="F38" s="23" t="n">
        <v>0</v>
      </c>
      <c r="G38" s="23" t="n">
        <v>43416890</v>
      </c>
      <c r="H38" s="24" t="s">
        <v>136</v>
      </c>
    </row>
    <row r="39" customFormat="false" ht="17.15" hidden="false" customHeight="false" outlineLevel="0" collapsed="false">
      <c r="A39" s="13" t="s">
        <v>52</v>
      </c>
      <c r="B39" s="11" t="s">
        <v>134</v>
      </c>
      <c r="C39" s="11" t="s">
        <v>94</v>
      </c>
      <c r="D39" s="13" t="s">
        <v>137</v>
      </c>
      <c r="E39" s="23" t="n">
        <v>42764</v>
      </c>
      <c r="F39" s="23" t="n">
        <v>0</v>
      </c>
      <c r="G39" s="23" t="n">
        <v>43446590</v>
      </c>
      <c r="H39" s="24" t="s">
        <v>136</v>
      </c>
    </row>
    <row r="40" customFormat="false" ht="17.15" hidden="false" customHeight="false" outlineLevel="0" collapsed="false">
      <c r="A40" s="19" t="s">
        <v>52</v>
      </c>
      <c r="B40" s="20" t="s">
        <v>138</v>
      </c>
      <c r="C40" s="19" t="s">
        <v>129</v>
      </c>
      <c r="D40" s="19" t="s">
        <v>139</v>
      </c>
      <c r="E40" s="21" t="n">
        <v>0</v>
      </c>
      <c r="F40" s="21" t="n">
        <v>132000</v>
      </c>
      <c r="G40" s="21" t="n">
        <v>43489354</v>
      </c>
      <c r="H40" s="22" t="s">
        <v>55</v>
      </c>
    </row>
    <row r="41" customFormat="false" ht="15" hidden="false" customHeight="false" outlineLevel="0" collapsed="false">
      <c r="A41" s="13" t="s">
        <v>52</v>
      </c>
      <c r="B41" s="11" t="s">
        <v>140</v>
      </c>
      <c r="C41" s="13" t="s">
        <v>141</v>
      </c>
      <c r="D41" s="13" t="s">
        <v>142</v>
      </c>
      <c r="E41" s="23" t="n">
        <v>12500</v>
      </c>
      <c r="F41" s="23" t="n">
        <v>0</v>
      </c>
      <c r="G41" s="23" t="n">
        <v>43357354</v>
      </c>
      <c r="H41" s="24" t="s">
        <v>143</v>
      </c>
    </row>
    <row r="42" customFormat="false" ht="17.15" hidden="false" customHeight="false" outlineLevel="0" collapsed="false">
      <c r="A42" s="19" t="s">
        <v>52</v>
      </c>
      <c r="B42" s="20" t="s">
        <v>144</v>
      </c>
      <c r="C42" s="19" t="s">
        <v>54</v>
      </c>
      <c r="D42" s="19" t="s">
        <v>26</v>
      </c>
      <c r="E42" s="21" t="n">
        <v>0</v>
      </c>
      <c r="F42" s="21" t="n">
        <v>1530980</v>
      </c>
      <c r="G42" s="21" t="n">
        <v>43369854</v>
      </c>
      <c r="H42" s="22" t="s">
        <v>55</v>
      </c>
    </row>
    <row r="43" customFormat="false" ht="17.15" hidden="false" customHeight="false" outlineLevel="0" collapsed="false">
      <c r="A43" s="13" t="s">
        <v>52</v>
      </c>
      <c r="B43" s="11" t="s">
        <v>145</v>
      </c>
      <c r="C43" s="13" t="s">
        <v>59</v>
      </c>
      <c r="D43" s="13" t="s">
        <v>146</v>
      </c>
      <c r="E43" s="23" t="n">
        <v>2045820</v>
      </c>
      <c r="F43" s="23" t="n">
        <v>0</v>
      </c>
      <c r="G43" s="23" t="n">
        <v>41838874</v>
      </c>
      <c r="H43" s="24" t="s">
        <v>147</v>
      </c>
    </row>
    <row r="44" customFormat="false" ht="17.15" hidden="false" customHeight="false" outlineLevel="0" collapsed="false">
      <c r="A44" s="13" t="s">
        <v>52</v>
      </c>
      <c r="B44" s="11" t="s">
        <v>148</v>
      </c>
      <c r="C44" s="13" t="s">
        <v>149</v>
      </c>
      <c r="D44" s="13" t="s">
        <v>150</v>
      </c>
      <c r="E44" s="23" t="n">
        <v>2009480</v>
      </c>
      <c r="F44" s="23" t="n">
        <v>0</v>
      </c>
      <c r="G44" s="23" t="n">
        <v>43884694</v>
      </c>
      <c r="H44" s="24" t="s">
        <v>147</v>
      </c>
    </row>
    <row r="45" customFormat="false" ht="17.15" hidden="false" customHeight="false" outlineLevel="0" collapsed="false">
      <c r="A45" s="13" t="s">
        <v>52</v>
      </c>
      <c r="B45" s="11" t="s">
        <v>151</v>
      </c>
      <c r="C45" s="13" t="s">
        <v>149</v>
      </c>
      <c r="D45" s="13" t="s">
        <v>152</v>
      </c>
      <c r="E45" s="23" t="n">
        <v>2009480</v>
      </c>
      <c r="F45" s="23" t="n">
        <v>0</v>
      </c>
      <c r="G45" s="23" t="n">
        <v>45894174</v>
      </c>
      <c r="H45" s="24" t="s">
        <v>147</v>
      </c>
    </row>
    <row r="46" customFormat="false" ht="17.15" hidden="false" customHeight="false" outlineLevel="0" collapsed="false">
      <c r="A46" s="13" t="s">
        <v>52</v>
      </c>
      <c r="B46" s="11" t="s">
        <v>153</v>
      </c>
      <c r="C46" s="13" t="s">
        <v>59</v>
      </c>
      <c r="D46" s="13" t="s">
        <v>154</v>
      </c>
      <c r="E46" s="23" t="n">
        <v>2026690</v>
      </c>
      <c r="F46" s="23" t="n">
        <v>0</v>
      </c>
      <c r="G46" s="23" t="n">
        <v>47903654</v>
      </c>
      <c r="H46" s="24" t="s">
        <v>147</v>
      </c>
    </row>
    <row r="47" customFormat="false" ht="17.15" hidden="false" customHeight="false" outlineLevel="0" collapsed="false">
      <c r="A47" s="13" t="s">
        <v>52</v>
      </c>
      <c r="B47" s="11" t="s">
        <v>155</v>
      </c>
      <c r="C47" s="13" t="s">
        <v>59</v>
      </c>
      <c r="D47" s="13" t="s">
        <v>156</v>
      </c>
      <c r="E47" s="23" t="n">
        <v>2255280</v>
      </c>
      <c r="F47" s="23" t="n">
        <v>0</v>
      </c>
      <c r="G47" s="23" t="n">
        <v>49930344</v>
      </c>
      <c r="H47" s="24" t="s">
        <v>147</v>
      </c>
    </row>
    <row r="48" customFormat="false" ht="17.15" hidden="false" customHeight="false" outlineLevel="0" collapsed="false">
      <c r="A48" s="13" t="s">
        <v>52</v>
      </c>
      <c r="B48" s="11" t="s">
        <v>157</v>
      </c>
      <c r="C48" s="13" t="s">
        <v>158</v>
      </c>
      <c r="D48" s="13" t="s">
        <v>159</v>
      </c>
      <c r="E48" s="23" t="n">
        <v>2224420</v>
      </c>
      <c r="F48" s="23" t="n">
        <v>0</v>
      </c>
      <c r="G48" s="23" t="n">
        <v>52185624</v>
      </c>
      <c r="H48" s="24" t="s">
        <v>147</v>
      </c>
    </row>
    <row r="49" customFormat="false" ht="17.15" hidden="false" customHeight="false" outlineLevel="0" collapsed="false">
      <c r="A49" s="13" t="s">
        <v>52</v>
      </c>
      <c r="B49" s="11" t="s">
        <v>160</v>
      </c>
      <c r="C49" s="13" t="s">
        <v>158</v>
      </c>
      <c r="D49" s="13" t="s">
        <v>161</v>
      </c>
      <c r="E49" s="23" t="n">
        <v>2929920</v>
      </c>
      <c r="F49" s="23" t="n">
        <v>0</v>
      </c>
      <c r="G49" s="23" t="n">
        <v>54410044</v>
      </c>
      <c r="H49" s="24" t="s">
        <v>147</v>
      </c>
    </row>
    <row r="50" customFormat="false" ht="17.15" hidden="false" customHeight="false" outlineLevel="0" collapsed="false">
      <c r="A50" s="13" t="s">
        <v>52</v>
      </c>
      <c r="B50" s="11" t="s">
        <v>160</v>
      </c>
      <c r="C50" s="13" t="s">
        <v>158</v>
      </c>
      <c r="D50" s="13" t="s">
        <v>162</v>
      </c>
      <c r="E50" s="23" t="n">
        <v>3188260</v>
      </c>
      <c r="F50" s="23" t="n">
        <v>0</v>
      </c>
      <c r="G50" s="23" t="n">
        <v>57339964</v>
      </c>
      <c r="H50" s="24" t="s">
        <v>147</v>
      </c>
    </row>
    <row r="51" customFormat="false" ht="17.15" hidden="false" customHeight="false" outlineLevel="0" collapsed="false">
      <c r="A51" s="13" t="s">
        <v>52</v>
      </c>
      <c r="B51" s="11" t="s">
        <v>163</v>
      </c>
      <c r="C51" s="13" t="s">
        <v>164</v>
      </c>
      <c r="D51" s="13" t="s">
        <v>165</v>
      </c>
      <c r="E51" s="23" t="n">
        <v>4568470</v>
      </c>
      <c r="F51" s="23" t="n">
        <v>0</v>
      </c>
      <c r="G51" s="23" t="n">
        <v>60528224</v>
      </c>
      <c r="H51" s="24" t="s">
        <v>147</v>
      </c>
    </row>
    <row r="52" customFormat="false" ht="17.15" hidden="false" customHeight="false" outlineLevel="0" collapsed="false">
      <c r="A52" s="13" t="s">
        <v>52</v>
      </c>
      <c r="B52" s="11" t="s">
        <v>166</v>
      </c>
      <c r="C52" s="13" t="s">
        <v>66</v>
      </c>
      <c r="D52" s="13" t="s">
        <v>167</v>
      </c>
      <c r="E52" s="23" t="n">
        <v>3222930</v>
      </c>
      <c r="F52" s="23" t="n">
        <v>0</v>
      </c>
      <c r="G52" s="23" t="n">
        <v>65096694</v>
      </c>
      <c r="H52" s="24" t="s">
        <v>147</v>
      </c>
    </row>
    <row r="53" customFormat="false" ht="17.15" hidden="false" customHeight="false" outlineLevel="0" collapsed="false">
      <c r="A53" s="13" t="s">
        <v>52</v>
      </c>
      <c r="B53" s="11" t="s">
        <v>168</v>
      </c>
      <c r="C53" s="13" t="s">
        <v>123</v>
      </c>
      <c r="D53" s="13" t="s">
        <v>169</v>
      </c>
      <c r="E53" s="23" t="n">
        <v>3903960</v>
      </c>
      <c r="F53" s="23" t="n">
        <v>0</v>
      </c>
      <c r="G53" s="23" t="n">
        <v>68319624</v>
      </c>
      <c r="H53" s="24" t="s">
        <v>147</v>
      </c>
    </row>
    <row r="54" customFormat="false" ht="17.15" hidden="false" customHeight="false" outlineLevel="0" collapsed="false">
      <c r="A54" s="13" t="s">
        <v>52</v>
      </c>
      <c r="B54" s="11" t="s">
        <v>168</v>
      </c>
      <c r="C54" s="13" t="s">
        <v>158</v>
      </c>
      <c r="D54" s="13" t="s">
        <v>170</v>
      </c>
      <c r="E54" s="23" t="n">
        <v>6695000</v>
      </c>
      <c r="F54" s="23" t="n">
        <v>0</v>
      </c>
      <c r="G54" s="23" t="n">
        <v>72223584</v>
      </c>
      <c r="H54" s="24" t="s">
        <v>147</v>
      </c>
    </row>
    <row r="55" customFormat="false" ht="17.15" hidden="false" customHeight="false" outlineLevel="0" collapsed="false">
      <c r="A55" s="19" t="s">
        <v>52</v>
      </c>
      <c r="B55" s="20" t="s">
        <v>171</v>
      </c>
      <c r="C55" s="19" t="s">
        <v>54</v>
      </c>
      <c r="D55" s="19" t="s">
        <v>28</v>
      </c>
      <c r="E55" s="21" t="n">
        <v>0</v>
      </c>
      <c r="F55" s="21" t="n">
        <v>2922986</v>
      </c>
      <c r="G55" s="21" t="n">
        <v>78918584</v>
      </c>
      <c r="H55" s="22" t="s">
        <v>55</v>
      </c>
    </row>
    <row r="56" customFormat="false" ht="17.15" hidden="false" customHeight="false" outlineLevel="0" collapsed="false">
      <c r="A56" s="13" t="s">
        <v>52</v>
      </c>
      <c r="B56" s="11" t="s">
        <v>172</v>
      </c>
      <c r="C56" s="13" t="s">
        <v>173</v>
      </c>
      <c r="D56" s="13" t="s">
        <v>174</v>
      </c>
      <c r="E56" s="23" t="n">
        <v>28780</v>
      </c>
      <c r="F56" s="23" t="n">
        <v>0</v>
      </c>
      <c r="G56" s="23" t="n">
        <v>75995598</v>
      </c>
      <c r="H56" s="24" t="s">
        <v>175</v>
      </c>
    </row>
    <row r="57" customFormat="false" ht="17.15" hidden="false" customHeight="false" outlineLevel="0" collapsed="false">
      <c r="A57" s="13" t="s">
        <v>52</v>
      </c>
      <c r="B57" s="11" t="s">
        <v>172</v>
      </c>
      <c r="C57" s="13" t="s">
        <v>173</v>
      </c>
      <c r="D57" s="13" t="s">
        <v>174</v>
      </c>
      <c r="E57" s="23" t="n">
        <v>30300</v>
      </c>
      <c r="F57" s="23" t="n">
        <v>0</v>
      </c>
      <c r="G57" s="23" t="n">
        <v>76024378</v>
      </c>
      <c r="H57" s="24" t="s">
        <v>175</v>
      </c>
    </row>
    <row r="58" customFormat="false" ht="17.15" hidden="false" customHeight="false" outlineLevel="0" collapsed="false">
      <c r="A58" s="13" t="s">
        <v>52</v>
      </c>
      <c r="B58" s="11" t="s">
        <v>176</v>
      </c>
      <c r="C58" s="13" t="s">
        <v>177</v>
      </c>
      <c r="D58" s="13" t="s">
        <v>178</v>
      </c>
      <c r="E58" s="23" t="n">
        <v>47200</v>
      </c>
      <c r="F58" s="23" t="n">
        <v>0</v>
      </c>
      <c r="G58" s="23" t="n">
        <v>76054678</v>
      </c>
      <c r="H58" s="24" t="s">
        <v>136</v>
      </c>
    </row>
    <row r="59" customFormat="false" ht="15" hidden="false" customHeight="false" outlineLevel="0" collapsed="false">
      <c r="A59" s="13" t="s">
        <v>52</v>
      </c>
      <c r="B59" s="11" t="s">
        <v>179</v>
      </c>
      <c r="C59" s="13" t="s">
        <v>141</v>
      </c>
      <c r="D59" s="13" t="s">
        <v>180</v>
      </c>
      <c r="E59" s="23" t="n">
        <v>581250</v>
      </c>
      <c r="F59" s="23" t="n">
        <v>0</v>
      </c>
      <c r="G59" s="23" t="n">
        <v>76101878</v>
      </c>
      <c r="H59" s="24" t="s">
        <v>143</v>
      </c>
    </row>
    <row r="60" customFormat="false" ht="17.15" hidden="false" customHeight="false" outlineLevel="0" collapsed="false">
      <c r="A60" s="13" t="s">
        <v>52</v>
      </c>
      <c r="B60" s="11" t="s">
        <v>181</v>
      </c>
      <c r="C60" s="13" t="s">
        <v>129</v>
      </c>
      <c r="D60" s="13" t="s">
        <v>182</v>
      </c>
      <c r="E60" s="23" t="n">
        <v>13750</v>
      </c>
      <c r="F60" s="23" t="n">
        <v>0</v>
      </c>
      <c r="G60" s="23" t="n">
        <v>76683128</v>
      </c>
      <c r="H60" s="24" t="s">
        <v>183</v>
      </c>
    </row>
    <row r="61" customFormat="false" ht="17.15" hidden="false" customHeight="false" outlineLevel="0" collapsed="false">
      <c r="A61" s="13" t="s">
        <v>52</v>
      </c>
      <c r="B61" s="11" t="s">
        <v>184</v>
      </c>
      <c r="C61" s="13" t="s">
        <v>59</v>
      </c>
      <c r="D61" s="13" t="s">
        <v>185</v>
      </c>
      <c r="E61" s="23" t="n">
        <v>391600</v>
      </c>
      <c r="F61" s="23" t="n">
        <v>0</v>
      </c>
      <c r="G61" s="23" t="n">
        <v>76696878</v>
      </c>
      <c r="H61" s="24" t="s">
        <v>64</v>
      </c>
    </row>
    <row r="62" customFormat="false" ht="17.15" hidden="false" customHeight="false" outlineLevel="0" collapsed="false">
      <c r="A62" s="13" t="s">
        <v>52</v>
      </c>
      <c r="B62" s="11" t="s">
        <v>186</v>
      </c>
      <c r="C62" s="13" t="s">
        <v>59</v>
      </c>
      <c r="D62" s="13" t="s">
        <v>187</v>
      </c>
      <c r="E62" s="23" t="n">
        <v>205700</v>
      </c>
      <c r="F62" s="23" t="n">
        <v>0</v>
      </c>
      <c r="G62" s="23" t="n">
        <v>77088478</v>
      </c>
      <c r="H62" s="24" t="s">
        <v>64</v>
      </c>
    </row>
    <row r="63" customFormat="false" ht="17.15" hidden="false" customHeight="false" outlineLevel="0" collapsed="false">
      <c r="A63" s="13" t="s">
        <v>52</v>
      </c>
      <c r="B63" s="11" t="s">
        <v>186</v>
      </c>
      <c r="C63" s="13" t="s">
        <v>117</v>
      </c>
      <c r="D63" s="11" t="s">
        <v>188</v>
      </c>
      <c r="E63" s="23" t="n">
        <v>112000</v>
      </c>
      <c r="F63" s="23" t="n">
        <v>0</v>
      </c>
      <c r="G63" s="23" t="n">
        <v>77294178</v>
      </c>
      <c r="H63" s="24" t="s">
        <v>64</v>
      </c>
    </row>
    <row r="64" customFormat="false" ht="17.15" hidden="false" customHeight="false" outlineLevel="0" collapsed="false">
      <c r="A64" s="13" t="s">
        <v>52</v>
      </c>
      <c r="B64" s="11" t="s">
        <v>189</v>
      </c>
      <c r="C64" s="13" t="s">
        <v>59</v>
      </c>
      <c r="D64" s="13" t="s">
        <v>190</v>
      </c>
      <c r="E64" s="23" t="n">
        <v>60000</v>
      </c>
      <c r="F64" s="23" t="n">
        <v>0</v>
      </c>
      <c r="G64" s="23" t="n">
        <v>77406178</v>
      </c>
      <c r="H64" s="24" t="s">
        <v>64</v>
      </c>
    </row>
    <row r="65" customFormat="false" ht="17.15" hidden="false" customHeight="false" outlineLevel="0" collapsed="false">
      <c r="A65" s="13" t="s">
        <v>52</v>
      </c>
      <c r="B65" s="11" t="s">
        <v>191</v>
      </c>
      <c r="C65" s="13" t="s">
        <v>59</v>
      </c>
      <c r="D65" s="13" t="s">
        <v>192</v>
      </c>
      <c r="E65" s="23" t="n">
        <v>255871</v>
      </c>
      <c r="F65" s="23" t="n">
        <v>0</v>
      </c>
      <c r="G65" s="23" t="n">
        <v>77466178</v>
      </c>
      <c r="H65" s="24" t="s">
        <v>64</v>
      </c>
    </row>
    <row r="66" customFormat="false" ht="17.15" hidden="false" customHeight="false" outlineLevel="0" collapsed="false">
      <c r="A66" s="13" t="s">
        <v>52</v>
      </c>
      <c r="B66" s="11" t="s">
        <v>193</v>
      </c>
      <c r="C66" s="13" t="s">
        <v>123</v>
      </c>
      <c r="D66" s="13" t="s">
        <v>194</v>
      </c>
      <c r="E66" s="23" t="n">
        <v>28000</v>
      </c>
      <c r="F66" s="23" t="n">
        <v>0</v>
      </c>
      <c r="G66" s="23" t="n">
        <v>77722049</v>
      </c>
      <c r="H66" s="24" t="s">
        <v>64</v>
      </c>
    </row>
    <row r="67" customFormat="false" ht="17.15" hidden="false" customHeight="false" outlineLevel="0" collapsed="false">
      <c r="A67" s="13" t="s">
        <v>52</v>
      </c>
      <c r="B67" s="11" t="s">
        <v>193</v>
      </c>
      <c r="C67" s="13" t="s">
        <v>117</v>
      </c>
      <c r="D67" s="13" t="s">
        <v>195</v>
      </c>
      <c r="E67" s="23" t="n">
        <v>77000</v>
      </c>
      <c r="F67" s="23" t="n">
        <v>0</v>
      </c>
      <c r="G67" s="23" t="n">
        <v>77750049</v>
      </c>
      <c r="H67" s="24" t="s">
        <v>64</v>
      </c>
    </row>
    <row r="68" customFormat="false" ht="17.15" hidden="false" customHeight="false" outlineLevel="0" collapsed="false">
      <c r="A68" s="13" t="s">
        <v>52</v>
      </c>
      <c r="B68" s="11" t="s">
        <v>196</v>
      </c>
      <c r="C68" s="13" t="s">
        <v>59</v>
      </c>
      <c r="D68" s="13" t="s">
        <v>197</v>
      </c>
      <c r="E68" s="23" t="n">
        <v>418110</v>
      </c>
      <c r="F68" s="23" t="n">
        <v>0</v>
      </c>
      <c r="G68" s="23" t="n">
        <v>77827049</v>
      </c>
      <c r="H68" s="24" t="s">
        <v>64</v>
      </c>
    </row>
    <row r="69" customFormat="false" ht="17.15" hidden="false" customHeight="false" outlineLevel="0" collapsed="false">
      <c r="A69" s="13" t="s">
        <v>52</v>
      </c>
      <c r="B69" s="11" t="s">
        <v>198</v>
      </c>
      <c r="C69" s="13" t="s">
        <v>66</v>
      </c>
      <c r="D69" s="11" t="s">
        <v>199</v>
      </c>
      <c r="E69" s="23" t="n">
        <v>1501500</v>
      </c>
      <c r="F69" s="23" t="n">
        <v>0</v>
      </c>
      <c r="G69" s="23" t="n">
        <v>78245159</v>
      </c>
      <c r="H69" s="24" t="s">
        <v>68</v>
      </c>
    </row>
    <row r="70" customFormat="false" ht="17.15" hidden="false" customHeight="false" outlineLevel="0" collapsed="false">
      <c r="A70" s="19" t="s">
        <v>52</v>
      </c>
      <c r="B70" s="20" t="s">
        <v>200</v>
      </c>
      <c r="C70" s="19" t="s">
        <v>54</v>
      </c>
      <c r="D70" s="20" t="s">
        <v>201</v>
      </c>
      <c r="E70" s="21" t="n">
        <v>0</v>
      </c>
      <c r="F70" s="21" t="n">
        <v>677710</v>
      </c>
      <c r="G70" s="21" t="n">
        <v>79746659</v>
      </c>
      <c r="H70" s="22" t="s">
        <v>55</v>
      </c>
    </row>
    <row r="71" customFormat="false" ht="17.15" hidden="false" customHeight="false" outlineLevel="0" collapsed="false">
      <c r="A71" s="13" t="s">
        <v>52</v>
      </c>
      <c r="B71" s="11" t="s">
        <v>202</v>
      </c>
      <c r="C71" s="11" t="s">
        <v>94</v>
      </c>
      <c r="D71" s="13" t="s">
        <v>203</v>
      </c>
      <c r="E71" s="23" t="n">
        <v>20000</v>
      </c>
      <c r="F71" s="23" t="n">
        <v>0</v>
      </c>
      <c r="G71" s="23" t="n">
        <v>79068949</v>
      </c>
      <c r="H71" s="24" t="s">
        <v>136</v>
      </c>
    </row>
    <row r="72" customFormat="false" ht="17.15" hidden="false" customHeight="false" outlineLevel="0" collapsed="false">
      <c r="A72" s="13" t="s">
        <v>204</v>
      </c>
      <c r="B72" s="11" t="s">
        <v>205</v>
      </c>
      <c r="C72" s="13" t="s">
        <v>206</v>
      </c>
      <c r="D72" s="11" t="s">
        <v>207</v>
      </c>
      <c r="E72" s="23" t="n">
        <v>102000</v>
      </c>
      <c r="F72" s="23" t="n">
        <v>0</v>
      </c>
      <c r="G72" s="23" t="n">
        <v>19616417</v>
      </c>
      <c r="H72" s="24" t="s">
        <v>208</v>
      </c>
    </row>
    <row r="73" customFormat="false" ht="17.15" hidden="false" customHeight="false" outlineLevel="0" collapsed="false">
      <c r="A73" s="13" t="s">
        <v>204</v>
      </c>
      <c r="B73" s="11" t="s">
        <v>209</v>
      </c>
      <c r="C73" s="13" t="s">
        <v>210</v>
      </c>
      <c r="D73" s="13" t="s">
        <v>211</v>
      </c>
      <c r="E73" s="23" t="n">
        <v>33000</v>
      </c>
      <c r="F73" s="23" t="n">
        <v>0</v>
      </c>
      <c r="G73" s="23" t="n">
        <v>19718417</v>
      </c>
      <c r="H73" s="25" t="s">
        <v>72</v>
      </c>
    </row>
    <row r="74" customFormat="false" ht="17.15" hidden="false" customHeight="false" outlineLevel="0" collapsed="false">
      <c r="A74" s="13" t="s">
        <v>204</v>
      </c>
      <c r="B74" s="11" t="s">
        <v>209</v>
      </c>
      <c r="C74" s="13" t="s">
        <v>210</v>
      </c>
      <c r="D74" s="13" t="s">
        <v>212</v>
      </c>
      <c r="E74" s="23" t="n">
        <v>264000</v>
      </c>
      <c r="F74" s="23" t="n">
        <v>0</v>
      </c>
      <c r="G74" s="23" t="n">
        <v>19751417</v>
      </c>
      <c r="H74" s="25" t="s">
        <v>72</v>
      </c>
    </row>
    <row r="75" customFormat="false" ht="17.15" hidden="false" customHeight="false" outlineLevel="0" collapsed="false">
      <c r="A75" s="13" t="s">
        <v>204</v>
      </c>
      <c r="B75" s="11" t="s">
        <v>209</v>
      </c>
      <c r="C75" s="13" t="s">
        <v>210</v>
      </c>
      <c r="D75" s="13" t="s">
        <v>213</v>
      </c>
      <c r="E75" s="23" t="n">
        <v>110000</v>
      </c>
      <c r="F75" s="23" t="n">
        <v>0</v>
      </c>
      <c r="G75" s="23" t="n">
        <v>20015417</v>
      </c>
      <c r="H75" s="25" t="s">
        <v>72</v>
      </c>
    </row>
    <row r="76" customFormat="false" ht="17.15" hidden="false" customHeight="false" outlineLevel="0" collapsed="false">
      <c r="A76" s="13" t="s">
        <v>204</v>
      </c>
      <c r="B76" s="11" t="s">
        <v>209</v>
      </c>
      <c r="C76" s="13" t="s">
        <v>210</v>
      </c>
      <c r="D76" s="13" t="s">
        <v>214</v>
      </c>
      <c r="E76" s="23" t="n">
        <v>110000</v>
      </c>
      <c r="F76" s="23" t="n">
        <v>0</v>
      </c>
      <c r="G76" s="23" t="n">
        <v>20125417</v>
      </c>
      <c r="H76" s="25" t="s">
        <v>72</v>
      </c>
    </row>
    <row r="77" customFormat="false" ht="15" hidden="false" customHeight="false" outlineLevel="0" collapsed="false">
      <c r="A77" s="13" t="s">
        <v>204</v>
      </c>
      <c r="B77" s="11" t="s">
        <v>215</v>
      </c>
      <c r="C77" s="13" t="s">
        <v>216</v>
      </c>
      <c r="D77" s="11" t="s">
        <v>217</v>
      </c>
      <c r="E77" s="23" t="n">
        <v>5001871</v>
      </c>
      <c r="F77" s="23" t="n">
        <v>0</v>
      </c>
      <c r="G77" s="23" t="n">
        <v>20235417</v>
      </c>
      <c r="H77" s="24" t="s">
        <v>121</v>
      </c>
    </row>
    <row r="78" customFormat="false" ht="15" hidden="false" customHeight="false" outlineLevel="0" collapsed="false">
      <c r="A78" s="13" t="s">
        <v>204</v>
      </c>
      <c r="B78" s="11" t="s">
        <v>215</v>
      </c>
      <c r="C78" s="13" t="s">
        <v>216</v>
      </c>
      <c r="D78" s="11" t="s">
        <v>218</v>
      </c>
      <c r="E78" s="23" t="n">
        <v>290499</v>
      </c>
      <c r="F78" s="23" t="n">
        <v>0</v>
      </c>
      <c r="G78" s="23" t="n">
        <v>25237288</v>
      </c>
      <c r="H78" s="24" t="s">
        <v>121</v>
      </c>
    </row>
    <row r="79" customFormat="false" ht="15" hidden="false" customHeight="false" outlineLevel="0" collapsed="false">
      <c r="A79" s="13" t="s">
        <v>204</v>
      </c>
      <c r="B79" s="11" t="s">
        <v>215</v>
      </c>
      <c r="C79" s="13" t="s">
        <v>216</v>
      </c>
      <c r="D79" s="11" t="s">
        <v>219</v>
      </c>
      <c r="E79" s="23" t="n">
        <v>193666</v>
      </c>
      <c r="F79" s="23" t="n">
        <v>0</v>
      </c>
      <c r="G79" s="23" t="n">
        <v>25527787</v>
      </c>
      <c r="H79" s="24" t="s">
        <v>121</v>
      </c>
    </row>
    <row r="80" customFormat="false" ht="15" hidden="false" customHeight="false" outlineLevel="0" collapsed="false">
      <c r="A80" s="13" t="s">
        <v>204</v>
      </c>
      <c r="B80" s="11" t="s">
        <v>215</v>
      </c>
      <c r="C80" s="13" t="s">
        <v>216</v>
      </c>
      <c r="D80" s="11" t="s">
        <v>220</v>
      </c>
      <c r="E80" s="23" t="n">
        <v>895246</v>
      </c>
      <c r="F80" s="23" t="n">
        <v>0</v>
      </c>
      <c r="G80" s="23" t="n">
        <v>25721453</v>
      </c>
      <c r="H80" s="24" t="s">
        <v>121</v>
      </c>
    </row>
    <row r="81" customFormat="false" ht="15" hidden="false" customHeight="false" outlineLevel="0" collapsed="false">
      <c r="A81" s="13" t="s">
        <v>204</v>
      </c>
      <c r="B81" s="11" t="s">
        <v>215</v>
      </c>
      <c r="C81" s="13" t="s">
        <v>216</v>
      </c>
      <c r="D81" s="11" t="s">
        <v>221</v>
      </c>
      <c r="E81" s="23" t="n">
        <v>760136</v>
      </c>
      <c r="F81" s="23" t="n">
        <v>0</v>
      </c>
      <c r="G81" s="23" t="n">
        <v>26616699</v>
      </c>
      <c r="H81" s="24" t="s">
        <v>121</v>
      </c>
    </row>
    <row r="82" customFormat="false" ht="17.15" hidden="false" customHeight="false" outlineLevel="0" collapsed="false">
      <c r="A82" s="13" t="s">
        <v>204</v>
      </c>
      <c r="B82" s="11" t="s">
        <v>222</v>
      </c>
      <c r="C82" s="13" t="s">
        <v>223</v>
      </c>
      <c r="D82" s="13" t="s">
        <v>224</v>
      </c>
      <c r="E82" s="23" t="n">
        <v>44000</v>
      </c>
      <c r="F82" s="23" t="n">
        <v>0</v>
      </c>
      <c r="G82" s="23" t="n">
        <v>27376835</v>
      </c>
      <c r="H82" s="24" t="s">
        <v>225</v>
      </c>
    </row>
    <row r="83" customFormat="false" ht="17.15" hidden="false" customHeight="false" outlineLevel="0" collapsed="false">
      <c r="A83" s="19" t="s">
        <v>204</v>
      </c>
      <c r="B83" s="20" t="s">
        <v>226</v>
      </c>
      <c r="C83" s="19" t="s">
        <v>227</v>
      </c>
      <c r="D83" s="20" t="s">
        <v>228</v>
      </c>
      <c r="E83" s="21" t="n">
        <v>0</v>
      </c>
      <c r="F83" s="21" t="n">
        <v>20000000</v>
      </c>
      <c r="G83" s="21" t="n">
        <v>27420835</v>
      </c>
      <c r="H83" s="22" t="s">
        <v>229</v>
      </c>
    </row>
    <row r="84" customFormat="false" ht="17.15" hidden="false" customHeight="false" outlineLevel="0" collapsed="false">
      <c r="A84" s="13" t="s">
        <v>204</v>
      </c>
      <c r="B84" s="11" t="s">
        <v>230</v>
      </c>
      <c r="C84" s="11" t="s">
        <v>231</v>
      </c>
      <c r="D84" s="13" t="s">
        <v>232</v>
      </c>
      <c r="E84" s="23" t="n">
        <v>3812134</v>
      </c>
      <c r="F84" s="23" t="n">
        <v>0</v>
      </c>
      <c r="G84" s="23" t="n">
        <v>7420835</v>
      </c>
      <c r="H84" s="24" t="s">
        <v>107</v>
      </c>
    </row>
    <row r="85" customFormat="false" ht="15" hidden="false" customHeight="false" outlineLevel="0" collapsed="false">
      <c r="A85" s="13" t="s">
        <v>204</v>
      </c>
      <c r="B85" s="11" t="s">
        <v>233</v>
      </c>
      <c r="C85" s="13" t="s">
        <v>87</v>
      </c>
      <c r="D85" s="11" t="s">
        <v>234</v>
      </c>
      <c r="E85" s="23" t="n">
        <v>33000</v>
      </c>
      <c r="F85" s="23" t="n">
        <v>0</v>
      </c>
      <c r="G85" s="23" t="n">
        <v>11232969</v>
      </c>
      <c r="H85" s="24" t="s">
        <v>89</v>
      </c>
    </row>
    <row r="86" customFormat="false" ht="17.15" hidden="false" customHeight="false" outlineLevel="0" collapsed="false">
      <c r="A86" s="13" t="s">
        <v>204</v>
      </c>
      <c r="B86" s="11" t="s">
        <v>235</v>
      </c>
      <c r="C86" s="11" t="s">
        <v>231</v>
      </c>
      <c r="D86" s="13" t="s">
        <v>236</v>
      </c>
      <c r="E86" s="23" t="n">
        <v>21500</v>
      </c>
      <c r="F86" s="23" t="n">
        <v>0</v>
      </c>
      <c r="G86" s="23" t="n">
        <v>11265969</v>
      </c>
      <c r="H86" s="24" t="s">
        <v>175</v>
      </c>
    </row>
    <row r="87" customFormat="false" ht="17.15" hidden="false" customHeight="false" outlineLevel="0" collapsed="false">
      <c r="A87" s="13" t="s">
        <v>204</v>
      </c>
      <c r="B87" s="11" t="s">
        <v>237</v>
      </c>
      <c r="C87" s="13" t="s">
        <v>238</v>
      </c>
      <c r="D87" s="11" t="s">
        <v>239</v>
      </c>
      <c r="E87" s="23" t="n">
        <v>2087100</v>
      </c>
      <c r="F87" s="23" t="n">
        <v>0</v>
      </c>
      <c r="G87" s="23" t="n">
        <v>11287469</v>
      </c>
      <c r="H87" s="24" t="s">
        <v>240</v>
      </c>
    </row>
    <row r="88" customFormat="false" ht="17.15" hidden="false" customHeight="false" outlineLevel="0" collapsed="false">
      <c r="A88" s="13" t="s">
        <v>204</v>
      </c>
      <c r="B88" s="11" t="s">
        <v>237</v>
      </c>
      <c r="C88" s="13" t="s">
        <v>238</v>
      </c>
      <c r="D88" s="11" t="s">
        <v>241</v>
      </c>
      <c r="E88" s="23" t="n">
        <v>323660</v>
      </c>
      <c r="F88" s="23" t="n">
        <v>0</v>
      </c>
      <c r="G88" s="23" t="n">
        <v>13374569</v>
      </c>
      <c r="H88" s="24" t="s">
        <v>240</v>
      </c>
    </row>
    <row r="89" customFormat="false" ht="17.15" hidden="false" customHeight="false" outlineLevel="0" collapsed="false">
      <c r="A89" s="13" t="s">
        <v>204</v>
      </c>
      <c r="B89" s="11" t="s">
        <v>242</v>
      </c>
      <c r="C89" s="13" t="s">
        <v>238</v>
      </c>
      <c r="D89" s="11" t="s">
        <v>243</v>
      </c>
      <c r="E89" s="23" t="n">
        <v>432230</v>
      </c>
      <c r="F89" s="23" t="n">
        <v>0</v>
      </c>
      <c r="G89" s="23" t="n">
        <v>13698229</v>
      </c>
      <c r="H89" s="24" t="s">
        <v>240</v>
      </c>
    </row>
    <row r="90" customFormat="false" ht="17.15" hidden="false" customHeight="false" outlineLevel="0" collapsed="false">
      <c r="A90" s="13" t="s">
        <v>204</v>
      </c>
      <c r="B90" s="11" t="s">
        <v>242</v>
      </c>
      <c r="C90" s="13" t="s">
        <v>238</v>
      </c>
      <c r="D90" s="11" t="s">
        <v>244</v>
      </c>
      <c r="E90" s="23" t="n">
        <v>1768740</v>
      </c>
      <c r="F90" s="23" t="n">
        <v>0</v>
      </c>
      <c r="G90" s="23" t="n">
        <v>14130459</v>
      </c>
      <c r="H90" s="24" t="s">
        <v>240</v>
      </c>
    </row>
    <row r="91" customFormat="false" ht="17.15" hidden="false" customHeight="false" outlineLevel="0" collapsed="false">
      <c r="A91" s="13" t="s">
        <v>204</v>
      </c>
      <c r="B91" s="11" t="s">
        <v>245</v>
      </c>
      <c r="C91" s="11" t="s">
        <v>231</v>
      </c>
      <c r="D91" s="13" t="s">
        <v>246</v>
      </c>
      <c r="E91" s="23" t="n">
        <v>165000</v>
      </c>
      <c r="F91" s="23" t="n">
        <v>0</v>
      </c>
      <c r="G91" s="23" t="n">
        <v>15899199</v>
      </c>
      <c r="H91" s="24" t="s">
        <v>247</v>
      </c>
    </row>
    <row r="92" customFormat="false" ht="17.15" hidden="false" customHeight="false" outlineLevel="0" collapsed="false">
      <c r="A92" s="13" t="s">
        <v>204</v>
      </c>
      <c r="B92" s="11" t="s">
        <v>248</v>
      </c>
      <c r="C92" s="13" t="s">
        <v>249</v>
      </c>
      <c r="D92" s="11" t="s">
        <v>250</v>
      </c>
      <c r="E92" s="23" t="n">
        <v>5671350</v>
      </c>
      <c r="F92" s="23" t="n">
        <v>0</v>
      </c>
      <c r="G92" s="23" t="n">
        <v>16064199</v>
      </c>
      <c r="H92" s="24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</cols>
  <sheetData>
    <row r="1" customFormat="false" ht="21.6" hidden="false" customHeight="false" outlineLevel="0" collapsed="false">
      <c r="A1" s="18" t="s">
        <v>252</v>
      </c>
    </row>
    <row r="2" customFormat="false" ht="15" hidden="false" customHeight="false" outlineLevel="0" collapsed="false">
      <c r="A2" s="2" t="s">
        <v>253</v>
      </c>
    </row>
    <row r="4" customFormat="false" ht="17.15" hidden="false" customHeight="false" outlineLevel="0" collapsed="false">
      <c r="A4" s="10" t="s">
        <v>254</v>
      </c>
      <c r="B4" s="10" t="s">
        <v>21</v>
      </c>
    </row>
    <row r="5" customFormat="false" ht="17.15" hidden="false" customHeight="false" outlineLevel="0" collapsed="false">
      <c r="A5" s="13" t="s">
        <v>255</v>
      </c>
      <c r="B5" s="12" t="n">
        <f aca="false">SUMIF(비용_거래내역!$H$5:$H$92,A5,비용_거래내역!$E$5:$E$92)</f>
        <v>37079710</v>
      </c>
    </row>
    <row r="6" customFormat="false" ht="17.15" hidden="false" customHeight="false" outlineLevel="0" collapsed="false">
      <c r="A6" s="13" t="s">
        <v>256</v>
      </c>
      <c r="B6" s="12" t="n">
        <f aca="false">SUMIF(비용_거래내역!$H$5:$H$92,A6,비용_거래내역!$E$5:$E$92)</f>
        <v>4611730</v>
      </c>
    </row>
    <row r="7" customFormat="false" ht="17.15" hidden="false" customHeight="false" outlineLevel="0" collapsed="false">
      <c r="A7" s="13" t="s">
        <v>257</v>
      </c>
      <c r="B7" s="12" t="n">
        <f aca="false">SUMIF(비용_거래내역!$H$5:$H$92,A7,비용_거래내역!$E$5:$E$92)</f>
        <v>341940</v>
      </c>
    </row>
    <row r="8" customFormat="false" ht="15" hidden="false" customHeight="false" outlineLevel="0" collapsed="false">
      <c r="A8" s="13" t="s">
        <v>121</v>
      </c>
      <c r="B8" s="12" t="n">
        <f aca="false">SUMIF(비용_거래내역!$H$5:$H$92,A8,비용_거래내역!$E$5:$E$92)</f>
        <v>7170714</v>
      </c>
    </row>
    <row r="9" customFormat="false" ht="15" hidden="false" customHeight="false" outlineLevel="0" collapsed="false">
      <c r="A9" s="13" t="s">
        <v>107</v>
      </c>
      <c r="B9" s="12" t="n">
        <f aca="false">SUMIF(비용_거래내역!$H$5:$H$92,A9,비용_거래내역!$E$5:$E$92)</f>
        <v>4274664</v>
      </c>
    </row>
    <row r="10" customFormat="false" ht="17.15" hidden="false" customHeight="false" outlineLevel="0" collapsed="false">
      <c r="A10" s="13" t="s">
        <v>258</v>
      </c>
      <c r="B10" s="12" t="n">
        <f aca="false">SUMIF(비용_거래내역!$H$5:$H$92,A10,비용_거래내역!$E$5:$E$92)</f>
        <v>5671350</v>
      </c>
    </row>
    <row r="11" customFormat="false" ht="17.15" hidden="false" customHeight="false" outlineLevel="0" collapsed="false">
      <c r="A11" s="13" t="s">
        <v>259</v>
      </c>
      <c r="B11" s="12" t="n">
        <f aca="false">SUMIF(비용_거래내역!$H$5:$H$92,A11,비용_거래내역!$E$5:$E$92)</f>
        <v>102000</v>
      </c>
    </row>
    <row r="12" customFormat="false" ht="15" hidden="false" customHeight="false" outlineLevel="0" collapsed="false">
      <c r="A12" s="13" t="s">
        <v>89</v>
      </c>
      <c r="B12" s="12" t="n">
        <f aca="false">SUMIF(비용_거래내역!$H$5:$H$92,A12,비용_거래내역!$E$5:$E$92)</f>
        <v>125620</v>
      </c>
    </row>
    <row r="13" customFormat="false" ht="17.15" hidden="false" customHeight="false" outlineLevel="0" collapsed="false">
      <c r="A13" s="13" t="s">
        <v>260</v>
      </c>
      <c r="B13" s="12" t="n">
        <f aca="false">SUMIF(비용_거래내역!$H$5:$H$92,A13,비용_거래내역!$E$5:$E$92)</f>
        <v>80580</v>
      </c>
    </row>
    <row r="14" customFormat="false" ht="17.15" hidden="false" customHeight="false" outlineLevel="0" collapsed="false">
      <c r="A14" s="13" t="s">
        <v>261</v>
      </c>
      <c r="B14" s="12" t="n">
        <f aca="false">SUMIF(비용_거래내역!$H$5:$H$92,A14,비용_거래내역!$E$5:$E$92)</f>
        <v>139664</v>
      </c>
    </row>
    <row r="15" customFormat="false" ht="17.15" hidden="false" customHeight="false" outlineLevel="0" collapsed="false">
      <c r="A15" s="13" t="s">
        <v>262</v>
      </c>
      <c r="B15" s="12" t="n">
        <f aca="false">SUMIF(비용_거래내역!$H$5:$H$92,A15,비용_거래내역!$E$5:$E$92)</f>
        <v>3196050</v>
      </c>
    </row>
    <row r="16" customFormat="false" ht="17.15" hidden="false" customHeight="false" outlineLevel="0" collapsed="false">
      <c r="A16" s="13" t="s">
        <v>263</v>
      </c>
      <c r="B16" s="12" t="n">
        <f aca="false">SUMIF(비용_거래내역!$H$5:$H$92,A16,비용_거래내역!$E$5:$E$92)</f>
        <v>13750</v>
      </c>
    </row>
    <row r="17" customFormat="false" ht="17.15" hidden="false" customHeight="false" outlineLevel="0" collapsed="false">
      <c r="A17" s="13" t="s">
        <v>264</v>
      </c>
      <c r="B17" s="12" t="n">
        <f aca="false">SUMIF(비용_거래내역!$H$5:$H$92,A17,비용_거래내역!$E$5:$E$92)</f>
        <v>870600</v>
      </c>
    </row>
    <row r="18" customFormat="false" ht="17.15" hidden="false" customHeight="false" outlineLevel="0" collapsed="false">
      <c r="A18" s="13" t="s">
        <v>265</v>
      </c>
      <c r="B18" s="12" t="n">
        <f aca="false">SUMIF(비용_거래내역!$H$5:$H$92,A18,비용_거래내역!$E$5:$E$92)</f>
        <v>2871961</v>
      </c>
    </row>
    <row r="19" customFormat="false" ht="17.15" hidden="false" customHeight="false" outlineLevel="0" collapsed="false">
      <c r="A19" s="13" t="s">
        <v>266</v>
      </c>
      <c r="B19" s="12" t="n">
        <f aca="false">SUMIF(비용_거래내역!$H$5:$H$92,A19,비용_거래내역!$E$5:$E$92)</f>
        <v>2200000</v>
      </c>
    </row>
    <row r="20" customFormat="false" ht="17.15" hidden="false" customHeight="false" outlineLevel="0" collapsed="false">
      <c r="A20" s="13" t="s">
        <v>267</v>
      </c>
      <c r="B20" s="12" t="n">
        <f aca="false">SUMIF(비용_거래내역!$H$5:$H$92,A20,비용_거래내역!$E$5:$E$92)</f>
        <v>2200000</v>
      </c>
    </row>
    <row r="21" customFormat="false" ht="17.15" hidden="false" customHeight="false" outlineLevel="0" collapsed="false">
      <c r="A21" s="13" t="s">
        <v>268</v>
      </c>
      <c r="B21" s="12" t="n">
        <f aca="false">SUMIF(비용_거래내역!$H$5:$H$92,A21,비용_거래내역!$E$5:$E$92)</f>
        <v>400000</v>
      </c>
    </row>
    <row r="22" customFormat="false" ht="17.15" hidden="false" customHeight="false" outlineLevel="0" collapsed="false">
      <c r="A22" s="13" t="s">
        <v>269</v>
      </c>
      <c r="B22" s="12" t="n">
        <f aca="false">SUMIF(비용_거래내역!$H$5:$H$92,A22,비용_거래내역!$E$5:$E$92)</f>
        <v>165000</v>
      </c>
    </row>
    <row r="23" customFormat="false" ht="17.15" hidden="false" customHeight="false" outlineLevel="0" collapsed="false">
      <c r="A23" s="13" t="s">
        <v>270</v>
      </c>
      <c r="B23" s="12" t="n">
        <f aca="false">SUMIF(비용_거래내역!$H$5:$H$92,A23,비용_거래내역!$E$5:$E$92)</f>
        <v>44000</v>
      </c>
    </row>
    <row r="24" customFormat="false" ht="15" hidden="false" customHeight="false" outlineLevel="0" collapsed="false">
      <c r="A24" s="13" t="s">
        <v>143</v>
      </c>
      <c r="B24" s="12" t="n">
        <f aca="false">SUMIF(비용_거래내역!$H$5:$H$92,A24,비용_거래내역!$E$5:$E$92)</f>
        <v>593750</v>
      </c>
    </row>
    <row r="25" customFormat="false" ht="17.15" hidden="false" customHeight="false" outlineLevel="0" collapsed="false">
      <c r="A25" s="13" t="s">
        <v>271</v>
      </c>
      <c r="B25" s="12" t="n">
        <f aca="false">SUMIF(비용_거래내역!$H$5:$H$92,A25,비용_거래내역!$E$5:$E$92)</f>
        <v>250000</v>
      </c>
    </row>
    <row r="26" customFormat="false" ht="17.15" hidden="false" customHeight="false" outlineLevel="0" collapsed="false">
      <c r="A26" s="26" t="s">
        <v>272</v>
      </c>
      <c r="B26" s="27" t="n">
        <f aca="false">SUMIF(비용_거래내역!$H$5:$H$92,A26,비용_거래내역!$E$5:$E$92)</f>
        <v>968000</v>
      </c>
    </row>
    <row r="27" customFormat="false" ht="15" hidden="false" customHeight="false" outlineLevel="0" collapsed="false">
      <c r="A27" s="14" t="s">
        <v>273</v>
      </c>
      <c r="B27" s="16" t="n">
        <f aca="false">SUM(B5:B26)</f>
        <v>73371083</v>
      </c>
    </row>
    <row r="29" customFormat="false" ht="17.15" hidden="false" customHeight="false" outlineLevel="0" collapsed="false">
      <c r="A29" s="5" t="s">
        <v>274</v>
      </c>
    </row>
    <row r="30" customFormat="false" ht="15" hidden="false" customHeight="false" outlineLevel="0" collapsed="false">
      <c r="A30" s="28" t="s">
        <v>275</v>
      </c>
      <c r="B30" s="28" t="s">
        <v>48</v>
      </c>
      <c r="C30" s="28" t="s">
        <v>49</v>
      </c>
    </row>
    <row r="31" customFormat="false" ht="15" hidden="false" customHeight="false" outlineLevel="0" collapsed="false">
      <c r="A31" s="2" t="s">
        <v>276</v>
      </c>
      <c r="B31" s="29" t="n">
        <f aca="false">SUMIF(비용_거래내역!$H$5:$H$92,"설비투자(CAPEX)-비용아님",비용_거래내역!$E$5:$E$92)</f>
        <v>29480000</v>
      </c>
      <c r="C31" s="29" t="n">
        <f aca="false">SUMIF(비용_거래내역!$H$5:$H$92,"설비투자(CAPEX)-비용아님",비용_거래내역!$F$5:$F$92)</f>
        <v>0</v>
      </c>
    </row>
    <row r="32" customFormat="false" ht="15" hidden="false" customHeight="false" outlineLevel="0" collapsed="false">
      <c r="A32" s="2" t="s">
        <v>277</v>
      </c>
      <c r="B32" s="29" t="n">
        <f aca="false">SUMIF(비용_거래내역!$H$5:$H$92,"제외-매출채권 회수(수금)",비용_거래내역!$E$5:$E$92)</f>
        <v>0</v>
      </c>
      <c r="C32" s="29" t="n">
        <f aca="false">SUMIF(비용_거래내역!$H$5:$H$92,"제외-매출채권 회수(수금)",비용_거래내역!$F$5:$F$92)</f>
        <v>66159599</v>
      </c>
    </row>
    <row r="33" customFormat="false" ht="15" hidden="false" customHeight="false" outlineLevel="0" collapsed="false">
      <c r="A33" s="2" t="s">
        <v>278</v>
      </c>
      <c r="B33" s="29" t="n">
        <f aca="false">SUMIF(비용_거래내역!$H$5:$H$92,"제외-계좌간 자금이체",비용_거래내역!$E$5:$E$92)</f>
        <v>0</v>
      </c>
      <c r="C33" s="29" t="n">
        <f aca="false">SUMIF(비용_거래내역!$H$5:$H$92,"제외-계좌간 자금이체",비용_거래내역!$F$5:$F$92)</f>
        <v>20000000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2026-09-01T01:08:18Z</dcterms:created>
  <dc:creator>openpyxl</dc:creator>
  <dc:description/>
  <dc:language>en-US</dc:language>
  <cp:lastModifiedBy/>
  <dcterms:modified xsi:type="dcterms:W3CDTF">2026-09-01T01:08:18Z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