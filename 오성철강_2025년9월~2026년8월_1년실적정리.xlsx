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매출_ERP" sheetId="2" state="visible" r:id="rId4"/>
    <sheet name="매출_스크랩" sheetId="3" state="visible" r:id="rId5"/>
    <sheet name="비용_거래내역" sheetId="4" state="visible" r:id="rId6"/>
    <sheet name="비용_요약" sheetId="5" state="visible" r:id="rId7"/>
    <sheet name="월별추이" sheetId="6" state="visible" r:id="rId8"/>
    <sheet name="특이사항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<sst xmlns="http://schemas.openxmlformats.org/spreadsheetml/2006/main" count="5674" uniqueCount="1590">
  <si>
    <r>
      <rPr>
        <b val="true"/>
        <sz val="14"/>
        <rFont val="Noto Sans CJK SC"/>
        <family val="2"/>
      </rPr>
      <t xml:space="preserve">오성철강 </t>
    </r>
    <r>
      <rPr>
        <b val="true"/>
        <sz val="14"/>
        <rFont val="Arial"/>
        <family val="0"/>
        <charset val="1"/>
      </rPr>
      <t xml:space="preserve">2025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9</t>
    </r>
    <r>
      <rPr>
        <b val="true"/>
        <sz val="14"/>
        <rFont val="Noto Sans CJK SC"/>
        <family val="2"/>
      </rPr>
      <t xml:space="preserve">월 </t>
    </r>
    <r>
      <rPr>
        <b val="true"/>
        <sz val="14"/>
        <rFont val="Arial"/>
        <family val="0"/>
        <charset val="1"/>
      </rPr>
      <t xml:space="preserve">~ 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8</t>
    </r>
    <r>
      <rPr>
        <b val="true"/>
        <sz val="14"/>
        <rFont val="Noto Sans CJK SC"/>
        <family val="2"/>
      </rPr>
      <t xml:space="preserve">월 </t>
    </r>
    <r>
      <rPr>
        <b val="true"/>
        <sz val="14"/>
        <rFont val="Arial"/>
        <family val="0"/>
        <charset val="1"/>
      </rPr>
      <t xml:space="preserve">(1</t>
    </r>
    <r>
      <rPr>
        <b val="true"/>
        <sz val="14"/>
        <rFont val="Noto Sans CJK SC"/>
        <family val="2"/>
      </rPr>
      <t xml:space="preserve">년</t>
    </r>
    <r>
      <rPr>
        <b val="true"/>
        <sz val="14"/>
        <rFont val="Arial"/>
        <family val="0"/>
        <charset val="1"/>
      </rPr>
      <t xml:space="preserve">) </t>
    </r>
    <r>
      <rPr>
        <b val="true"/>
        <sz val="14"/>
        <rFont val="Noto Sans CJK SC"/>
        <family val="2"/>
      </rPr>
      <t xml:space="preserve">실적 요약</t>
    </r>
  </si>
  <si>
    <r>
      <rPr>
        <i val="true"/>
        <sz val="9"/>
        <color rgb="FF6B7280"/>
        <rFont val="Noto Sans CJK SC"/>
        <family val="2"/>
      </rPr>
      <t xml:space="preserve">매출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그린</t>
    </r>
    <r>
      <rPr>
        <i val="true"/>
        <sz val="9"/>
        <color rgb="FF6B7280"/>
        <rFont val="Arial"/>
        <family val="0"/>
        <charset val="1"/>
      </rPr>
      <t xml:space="preserve">ERP </t>
    </r>
    <r>
      <rPr>
        <i val="true"/>
        <sz val="9"/>
        <color rgb="FF6B7280"/>
        <rFont val="Noto Sans CJK SC"/>
        <family val="2"/>
      </rPr>
      <t xml:space="preserve">작업실적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발생주의</t>
    </r>
    <r>
      <rPr>
        <i val="true"/>
        <sz val="9"/>
        <color rgb="FF6B7280"/>
        <rFont val="Arial"/>
        <family val="0"/>
        <charset val="1"/>
      </rPr>
      <t xml:space="preserve">) + </t>
    </r>
    <r>
      <rPr>
        <i val="true"/>
        <sz val="9"/>
        <color rgb="FF6B7280"/>
        <rFont val="Noto Sans CJK SC"/>
        <family val="2"/>
      </rPr>
      <t xml:space="preserve">스크랩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고철</t>
    </r>
    <r>
      <rPr>
        <i val="true"/>
        <sz val="9"/>
        <color rgb="FF6B7280"/>
        <rFont val="Arial"/>
        <family val="0"/>
        <charset val="1"/>
      </rPr>
      <t xml:space="preserve">) </t>
    </r>
    <r>
      <rPr>
        <i val="true"/>
        <sz val="9"/>
        <color rgb="FF6B7280"/>
        <rFont val="Noto Sans CJK SC"/>
        <family val="2"/>
      </rPr>
      <t xml:space="preserve">매출 </t>
    </r>
    <r>
      <rPr>
        <i val="true"/>
        <sz val="9"/>
        <color rgb="FF6B7280"/>
        <rFont val="Arial"/>
        <family val="0"/>
        <charset val="1"/>
      </rPr>
      <t xml:space="preserve">/ </t>
    </r>
    <r>
      <rPr>
        <i val="true"/>
        <sz val="9"/>
        <color rgb="FF6B7280"/>
        <rFont val="Noto Sans CJK SC"/>
        <family val="2"/>
      </rPr>
      <t xml:space="preserve">비용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하나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우리은행 실제 출금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현금주의</t>
    </r>
    <r>
      <rPr>
        <i val="true"/>
        <sz val="9"/>
        <color rgb="FF6B7280"/>
        <rFont val="Arial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대표자 관련 특수항목 제외</t>
    </r>
    <r>
      <rPr>
        <i val="true"/>
        <sz val="9"/>
        <color rgb="FF6B7280"/>
        <rFont val="Arial"/>
        <family val="0"/>
        <charset val="1"/>
      </rPr>
      <t xml:space="preserve">) — </t>
    </r>
    <r>
      <rPr>
        <i val="true"/>
        <sz val="9"/>
        <color rgb="FF6B7280"/>
        <rFont val="Noto Sans CJK SC"/>
        <family val="2"/>
      </rPr>
      <t xml:space="preserve">스크랩 현금분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노란 셀</t>
    </r>
    <r>
      <rPr>
        <i val="true"/>
        <sz val="9"/>
        <color rgb="FF6B7280"/>
        <rFont val="Arial"/>
        <family val="0"/>
        <charset val="1"/>
      </rPr>
      <t xml:space="preserve">)</t>
    </r>
    <r>
      <rPr>
        <i val="true"/>
        <sz val="9"/>
        <color rgb="FF6B7280"/>
        <rFont val="Noto Sans CJK SC"/>
        <family val="2"/>
      </rPr>
      <t xml:space="preserve">은 미확인 가정치입니다</t>
    </r>
    <r>
      <rPr>
        <i val="true"/>
        <sz val="9"/>
        <color rgb="FF6B7280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</si>
  <si>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매출 합계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그린</t>
    </r>
    <r>
      <rPr>
        <sz val="11"/>
        <rFont val="Arial"/>
        <family val="0"/>
        <charset val="1"/>
      </rPr>
      <t xml:space="preserve">ERP 1</t>
    </r>
    <r>
      <rPr>
        <sz val="11"/>
        <rFont val="Noto Sans CJK SC"/>
        <family val="2"/>
      </rPr>
      <t xml:space="preserve">년 작업실적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</si>
  <si>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스크랩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고철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은행입금 실제</t>
    </r>
  </si>
  <si>
    <r>
      <rPr>
        <sz val="11"/>
        <rFont val="Noto Sans CJK SC"/>
        <family val="2"/>
      </rPr>
      <t xml:space="preserve">스크랩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고철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통장 외 현금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가정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400</t>
    </r>
    <r>
      <rPr>
        <sz val="11"/>
        <rFont val="Noto Sans CJK SC"/>
        <family val="2"/>
      </rPr>
      <t xml:space="preserve">만원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</si>
  <si>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총매출 </t>
    </r>
    <r>
      <rPr>
        <b val="true"/>
        <sz val="11"/>
        <rFont val="Arial"/>
        <family val="0"/>
        <charset val="1"/>
      </rPr>
      <t xml:space="preserve">(ERP + </t>
    </r>
    <r>
      <rPr>
        <b val="true"/>
        <sz val="11"/>
        <rFont val="Noto Sans CJK SC"/>
        <family val="2"/>
      </rPr>
      <t xml:space="preserve">스크랩 은행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스크랩 현금가정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</si>
  <si>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영업비용 합계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은행 출금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대표자 특수항목 제외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</si>
  <si>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영업손익 추정치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총매출 </t>
    </r>
    <r>
      <rPr>
        <b val="true"/>
        <sz val="11"/>
        <rFont val="Arial"/>
        <family val="0"/>
        <charset val="1"/>
      </rPr>
      <t xml:space="preserve">- </t>
    </r>
    <r>
      <rPr>
        <b val="true"/>
        <sz val="11"/>
        <rFont val="Noto Sans CJK SC"/>
        <family val="2"/>
      </rPr>
      <t xml:space="preserve">비용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스크랩 포함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</si>
  <si>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  참고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스크랩 매출 미포함 시 손익</t>
    </r>
  </si>
  <si>
    <r>
      <rPr>
        <b val="true"/>
        <sz val="11"/>
        <rFont val="Noto Sans CJK SC"/>
        <family val="2"/>
      </rPr>
      <t xml:space="preserve">은행 계좌 잔액 변동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참고 — 위 손익 추정치와 별개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</si>
  <si>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하나은행</t>
    </r>
    <r>
      <rPr>
        <sz val="10"/>
        <rFont val="Arial"/>
        <family val="0"/>
        <charset val="1"/>
      </rPr>
      <t xml:space="preserve">: 6,728,340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(25.09.02) → 64,516,597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(26.08.31)</t>
    </r>
  </si>
  <si>
    <r>
      <rPr>
        <sz val="10"/>
        <rFont val="Noto Sans CJK SC"/>
        <family val="2"/>
      </rPr>
      <t xml:space="preserve">우리은행</t>
    </r>
    <r>
      <rPr>
        <sz val="10"/>
        <rFont val="Arial"/>
        <family val="0"/>
        <charset val="1"/>
      </rPr>
      <t xml:space="preserve">: 8,963,200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(25.09.01) → 19,616,417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(26.08.31)</t>
    </r>
  </si>
  <si>
    <r>
      <rPr>
        <b val="true"/>
        <sz val="10"/>
        <rFont val="Noto Sans CJK SC"/>
        <family val="2"/>
      </rPr>
      <t xml:space="preserve">합산 잔액 증감</t>
    </r>
    <r>
      <rPr>
        <b val="true"/>
        <sz val="10"/>
        <rFont val="Arial"/>
        <family val="0"/>
        <charset val="1"/>
      </rPr>
      <t xml:space="preserve">: +68,441,474</t>
    </r>
    <r>
      <rPr>
        <b val="true"/>
        <sz val="10"/>
        <rFont val="Noto Sans CJK SC"/>
        <family val="2"/>
      </rPr>
      <t xml:space="preserve">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증가</t>
    </r>
    <r>
      <rPr>
        <b val="true"/>
        <sz val="10"/>
        <rFont val="Arial"/>
        <family val="0"/>
        <charset val="1"/>
      </rPr>
      <t xml:space="preserve">) — </t>
    </r>
    <r>
      <rPr>
        <b val="true"/>
        <sz val="10"/>
        <rFont val="Noto Sans CJK SC"/>
        <family val="2"/>
      </rPr>
      <t xml:space="preserve">자세한 설명은 </t>
    </r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특이사항</t>
    </r>
    <r>
      <rPr>
        <b val="true"/>
        <sz val="10"/>
        <rFont val="Arial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시트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번 참고</t>
    </r>
  </si>
  <si>
    <r>
      <rPr>
        <b val="true"/>
        <sz val="11"/>
        <rFont val="Noto Sans CJK SC"/>
        <family val="2"/>
      </rPr>
      <t xml:space="preserve">참고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영업손익에 포함 안 됨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</si>
  <si>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설비투자</t>
    </r>
    <r>
      <rPr>
        <sz val="11"/>
        <rFont val="Arial"/>
        <family val="0"/>
        <charset val="1"/>
      </rPr>
      <t xml:space="preserve">(CAPEX) — </t>
    </r>
    <r>
      <rPr>
        <sz val="11"/>
        <rFont val="Noto Sans CJK SC"/>
        <family val="2"/>
      </rPr>
      <t xml:space="preserve">레벨링 라인 도입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호이스트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언코일러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레벨링기계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</si>
  <si>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매출채권 회수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고객 입금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현금흐름 참고용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</si>
  <si>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대표자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남은우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관련 확인필요 특수항목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별도표기</t>
    </r>
    <r>
      <rPr>
        <sz val="11"/>
        <rFont val="Arial"/>
        <family val="0"/>
        <charset val="1"/>
      </rPr>
      <t xml:space="preserve">)</t>
    </r>
  </si>
  <si>
    <t xml:space="preserve">주요 가정 및 확인 필요 사항</t>
  </si>
  <si>
    <r>
      <rPr>
        <sz val="9"/>
        <rFont val="Arial"/>
        <family val="0"/>
        <charset val="1"/>
      </rPr>
      <t xml:space="preserve">1) </t>
    </r>
    <r>
      <rPr>
        <sz val="9"/>
        <rFont val="Noto Sans CJK SC"/>
        <family val="2"/>
      </rPr>
      <t xml:space="preserve">비용은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년간 실제 계좌 출금액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현금주의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기준이며</t>
    </r>
    <r>
      <rPr>
        <sz val="9"/>
        <rFont val="Arial"/>
        <family val="0"/>
        <charset val="1"/>
      </rPr>
      <t xml:space="preserve">, ERP </t>
    </r>
    <r>
      <rPr>
        <sz val="9"/>
        <rFont val="Noto Sans CJK SC"/>
        <family val="2"/>
      </rPr>
      <t xml:space="preserve">매출은 그린</t>
    </r>
    <r>
      <rPr>
        <sz val="9"/>
        <rFont val="Arial"/>
        <family val="0"/>
        <charset val="1"/>
      </rPr>
      <t xml:space="preserve">ERP </t>
    </r>
    <r>
      <rPr>
        <sz val="9"/>
        <rFont val="Noto Sans CJK SC"/>
        <family val="2"/>
      </rPr>
      <t xml:space="preserve">작업실적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발생주의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기준입니다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시점 불일치로 실제 손익과 차이가 있을 수 있습니다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</si>
  <si>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2) </t>
    </r>
    <r>
      <rPr>
        <sz val="9"/>
        <rFont val="Noto Sans CJK SC"/>
        <family val="2"/>
      </rPr>
      <t xml:space="preserve">스크랩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고철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매출은 우리은행 별도계좌</t>
    </r>
    <r>
      <rPr>
        <sz val="9"/>
        <rFont val="Arial"/>
        <family val="0"/>
        <charset val="1"/>
      </rPr>
      <t xml:space="preserve">(1005-203-068218) </t>
    </r>
    <r>
      <rPr>
        <sz val="9"/>
        <rFont val="Noto Sans CJK SC"/>
        <family val="2"/>
      </rPr>
      <t xml:space="preserve">은행입금분</t>
    </r>
    <r>
      <rPr>
        <sz val="9"/>
        <rFont val="Arial"/>
        <family val="0"/>
        <charset val="1"/>
      </rPr>
      <t xml:space="preserve">(147,824,150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확정 사실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과 통장 외 현금 수입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월 </t>
    </r>
    <r>
      <rPr>
        <sz val="9"/>
        <rFont val="Arial"/>
        <family val="0"/>
        <charset val="1"/>
      </rPr>
      <t xml:space="preserve">400</t>
    </r>
    <r>
      <rPr>
        <sz val="9"/>
        <rFont val="Noto Sans CJK SC"/>
        <family val="2"/>
      </rPr>
      <t xml:space="preserve">만원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연 </t>
    </r>
    <r>
      <rPr>
        <sz val="9"/>
        <rFont val="Arial"/>
        <family val="0"/>
        <charset val="1"/>
      </rPr>
      <t xml:space="preserve">4,800</t>
    </r>
    <r>
      <rPr>
        <sz val="9"/>
        <rFont val="Noto Sans CJK SC"/>
        <family val="2"/>
      </rPr>
      <t xml:space="preserve">만원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대표님 말씀 기준 미확인 가정치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을 합산했습니다</t>
    </r>
    <r>
      <rPr>
        <sz val="9"/>
        <rFont val="Arial"/>
        <family val="0"/>
        <charset val="1"/>
      </rPr>
      <t xml:space="preserve">. [</t>
    </r>
    <r>
      <rPr>
        <sz val="9"/>
        <rFont val="Noto Sans CJK SC"/>
        <family val="2"/>
      </rPr>
      <t xml:space="preserve">매출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스크랩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시트 참고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</si>
  <si>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3) </t>
    </r>
    <r>
      <rPr>
        <sz val="9"/>
        <rFont val="Noto Sans CJK SC"/>
        <family val="2"/>
      </rPr>
      <t xml:space="preserve">은행 계좌 잔액은 오히려 증가</t>
    </r>
    <r>
      <rPr>
        <sz val="9"/>
        <rFont val="Arial"/>
        <family val="0"/>
        <charset val="1"/>
      </rPr>
      <t xml:space="preserve">(+68,441,474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했습니다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이는 보유 단기금융상품 해지</t>
    </r>
    <r>
      <rPr>
        <sz val="9"/>
        <rFont val="Arial"/>
        <family val="0"/>
        <charset val="1"/>
      </rPr>
      <t xml:space="preserve">(288,307,837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와 세무환급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정부지원금</t>
    </r>
    <r>
      <rPr>
        <sz val="9"/>
        <rFont val="Arial"/>
        <family val="0"/>
        <charset val="1"/>
      </rPr>
      <t xml:space="preserve">(47,535,437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이 영업활동 부족분을 메웠기 때문으로 추정됩니다</t>
    </r>
    <r>
      <rPr>
        <sz val="9"/>
        <rFont val="Arial"/>
        <family val="0"/>
        <charset val="1"/>
      </rPr>
      <t xml:space="preserve">. [</t>
    </r>
    <r>
      <rPr>
        <sz val="9"/>
        <rFont val="Noto Sans CJK SC"/>
        <family val="2"/>
      </rPr>
      <t xml:space="preserve">특이사항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시트 참고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</si>
  <si>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4) </t>
    </r>
    <r>
      <rPr>
        <sz val="9"/>
        <rFont val="Noto Sans CJK SC"/>
        <family val="2"/>
      </rPr>
      <t xml:space="preserve">대표자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남은우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관련 확인필요 특수항목</t>
    </r>
    <r>
      <rPr>
        <sz val="9"/>
        <rFont val="Arial"/>
        <family val="0"/>
        <charset val="1"/>
      </rPr>
      <t xml:space="preserve">(100,816,970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영업비용으로 단정하지 않고 별도표기했습니다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실제 급여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배당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가지급금 여부는 확인이 필요합니다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</si>
  <si>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5) </t>
    </r>
    <r>
      <rPr>
        <sz val="9"/>
        <rFont val="Noto Sans CJK SC"/>
        <family val="2"/>
      </rPr>
      <t xml:space="preserve">설비투자</t>
    </r>
    <r>
      <rPr>
        <sz val="9"/>
        <rFont val="Arial"/>
        <family val="0"/>
        <charset val="1"/>
      </rPr>
      <t xml:space="preserve">(CAPEX, 130,530,450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는 레벨링 라인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호이스트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언코일러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레벨링기계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도입 비용으로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당기 비용이 아닌 자산 취득으로 처리했습니다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</si>
  <si>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6) ERP </t>
    </r>
    <r>
      <rPr>
        <sz val="9"/>
        <rFont val="Noto Sans CJK SC"/>
        <family val="2"/>
      </rPr>
      <t xml:space="preserve">매출</t>
    </r>
    <r>
      <rPr>
        <sz val="9"/>
        <rFont val="Arial"/>
        <family val="0"/>
        <charset val="1"/>
      </rPr>
      <t xml:space="preserve">(673,459,335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과 은행 매출채권 회수액</t>
    </r>
    <r>
      <rPr>
        <sz val="9"/>
        <rFont val="Arial"/>
        <family val="0"/>
        <charset val="1"/>
      </rPr>
      <t xml:space="preserve">(746,320,800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</t>
    </r>
    <r>
      <rPr>
        <sz val="9"/>
        <rFont val="Arial"/>
        <family val="0"/>
        <charset val="1"/>
      </rPr>
      <t xml:space="preserve">72,861,465</t>
    </r>
    <r>
      <rPr>
        <sz val="9"/>
        <rFont val="Noto Sans CJK SC"/>
        <family val="2"/>
      </rPr>
      <t xml:space="preserve">원 차이가 있어 참고용으로만 활용하시기 바랍니다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</si>
  <si>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7) "</t>
    </r>
    <r>
      <rPr>
        <sz val="9"/>
        <rFont val="Noto Sans CJK SC"/>
        <family val="2"/>
      </rPr>
      <t xml:space="preserve">기타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확인필요</t>
    </r>
    <r>
      <rPr>
        <sz val="9"/>
        <rFont val="Arial"/>
        <family val="0"/>
        <charset val="1"/>
      </rPr>
      <t xml:space="preserve">)" </t>
    </r>
    <r>
      <rPr>
        <sz val="9"/>
        <rFont val="Noto Sans CJK SC"/>
        <family val="2"/>
      </rPr>
      <t xml:space="preserve">항목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총 </t>
    </r>
    <r>
      <rPr>
        <sz val="9"/>
        <rFont val="Arial"/>
        <family val="0"/>
        <charset val="1"/>
      </rPr>
      <t xml:space="preserve">27,215,210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, 124</t>
    </r>
    <r>
      <rPr>
        <sz val="9"/>
        <rFont val="Noto Sans CJK SC"/>
        <family val="2"/>
      </rPr>
      <t xml:space="preserve">건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적요만으로 계정과목을 특정하기 어려워 별도 확인이 필요합니다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</si>
  <si>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8) </t>
    </r>
    <r>
      <rPr>
        <sz val="9"/>
        <rFont val="Noto Sans CJK SC"/>
        <family val="2"/>
      </rPr>
      <t xml:space="preserve">본 자료는 세무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회계 결산 자료가 아닌 은행 거래내역과 </t>
    </r>
    <r>
      <rPr>
        <sz val="9"/>
        <rFont val="Arial"/>
        <family val="0"/>
        <charset val="1"/>
      </rPr>
      <t xml:space="preserve">ERP </t>
    </r>
    <r>
      <rPr>
        <sz val="9"/>
        <rFont val="Noto Sans CJK SC"/>
        <family val="2"/>
      </rPr>
      <t xml:space="preserve">데이터를 바탕으로 한 추정 자료이며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확정 손익은 회계사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세무대리인 확인이 필요합니다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특히 스크랩 현금 수입은 세무 신고 여부도 함께 확인하시기 바랍니다</t>
    </r>
    <r>
      <rPr>
        <sz val="9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</si>
  <si>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오성철강 </t>
    </r>
    <r>
      <rPr>
        <b val="true"/>
        <sz val="14"/>
        <rFont val="Arial"/>
        <family val="0"/>
        <charset val="1"/>
      </rPr>
      <t xml:space="preserve">2025.09~2026.08 </t>
    </r>
    <r>
      <rPr>
        <b val="true"/>
        <sz val="14"/>
        <rFont val="Noto Sans CJK SC"/>
        <family val="2"/>
      </rPr>
      <t xml:space="preserve">매출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그린</t>
    </r>
    <r>
      <rPr>
        <b val="true"/>
        <sz val="14"/>
        <rFont val="Arial"/>
        <family val="0"/>
        <charset val="1"/>
      </rPr>
      <t xml:space="preserve">ERP </t>
    </r>
    <r>
      <rPr>
        <b val="true"/>
        <sz val="14"/>
        <rFont val="Noto Sans CJK SC"/>
        <family val="2"/>
      </rPr>
      <t xml:space="preserve">작업실적 기준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</si>
  <si>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B7280"/>
        <rFont val="Arial"/>
        <family val="0"/>
        <charset val="1"/>
      </rPr>
      <t xml:space="preserve">Source: Supabase greenp_production (</t>
    </r>
    <r>
      <rPr>
        <i val="true"/>
        <sz val="9"/>
        <color rgb="FF6B7280"/>
        <rFont val="Noto Sans CJK SC"/>
        <family val="2"/>
      </rPr>
      <t xml:space="preserve">그린</t>
    </r>
    <r>
      <rPr>
        <i val="true"/>
        <sz val="9"/>
        <color rgb="FF6B7280"/>
        <rFont val="Arial"/>
        <family val="0"/>
        <charset val="1"/>
      </rPr>
      <t xml:space="preserve">ERP </t>
    </r>
    <r>
      <rPr>
        <i val="true"/>
        <sz val="9"/>
        <color rgb="FF6B7280"/>
        <rFont val="Noto Sans CJK SC"/>
        <family val="2"/>
      </rPr>
      <t xml:space="preserve">미러</t>
    </r>
    <r>
      <rPr>
        <i val="true"/>
        <sz val="9"/>
        <color rgb="FF6B7280"/>
        <rFont val="Arial"/>
        <family val="0"/>
        <charset val="1"/>
      </rPr>
      <t xml:space="preserve">), slip_date 2025-09-01~2026-08-31, </t>
    </r>
    <r>
      <rPr>
        <i val="true"/>
        <sz val="9"/>
        <color rgb="FF6B7280"/>
        <rFont val="Noto Sans CJK SC"/>
        <family val="2"/>
      </rPr>
      <t xml:space="preserve">조회일 </t>
    </r>
    <r>
      <rPr>
        <i val="true"/>
        <sz val="9"/>
        <color rgb="FF6B7280"/>
        <rFont val="Arial"/>
        <family val="0"/>
        <charset val="1"/>
      </rPr>
      <t xml:space="preserve">2026-09-01</t>
    </r>
  </si>
  <si>
    <t xml:space="preserve">월별 매출</t>
  </si>
  <si>
    <t xml:space="preserve">월</t>
  </si>
  <si>
    <r>
      <rPr>
        <b val="true"/>
        <sz val="11"/>
        <color rgb="FFFFFFFF"/>
        <rFont val="Noto Sans CJK SC"/>
        <family val="2"/>
      </rPr>
      <t xml:space="preserve">매출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</si>
  <si>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25.09</t>
  </si>
  <si>
    <t xml:space="preserve">25.10</t>
  </si>
  <si>
    <t xml:space="preserve">25.11</t>
  </si>
  <si>
    <t xml:space="preserve">25.12</t>
  </si>
  <si>
    <t xml:space="preserve">26.01</t>
  </si>
  <si>
    <t xml:space="preserve">26.02</t>
  </si>
  <si>
    <t xml:space="preserve">26.03</t>
  </si>
  <si>
    <t xml:space="preserve">26.04</t>
  </si>
  <si>
    <t xml:space="preserve">26.05</t>
  </si>
  <si>
    <t xml:space="preserve">26.06</t>
  </si>
  <si>
    <t xml:space="preserve">26.07</t>
  </si>
  <si>
    <t xml:space="preserve">26.08</t>
  </si>
  <si>
    <t xml:space="preserve">합계</t>
  </si>
  <si>
    <r>
      <rPr>
        <b val="true"/>
        <sz val="11"/>
        <rFont val="Noto Sans CJK SC"/>
        <family val="2"/>
      </rPr>
      <t xml:space="preserve">작업유형별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연간</t>
    </r>
    <r>
      <rPr>
        <b val="true"/>
        <sz val="11"/>
        <rFont val="Arial"/>
        <family val="0"/>
        <charset val="1"/>
      </rPr>
      <t xml:space="preserve">)</t>
    </r>
  </si>
  <si>
    <t xml:space="preserve">작업유형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</si>
  <si>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</si>
  <si>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건수</t>
  </si>
  <si>
    <t xml:space="preserve">비중</t>
  </si>
  <si>
    <t xml:space="preserve">SLITING</t>
  </si>
  <si>
    <t xml:space="preserve">SLITING2</t>
  </si>
  <si>
    <t xml:space="preserve">LEVELLING</t>
  </si>
  <si>
    <r>
      <rPr>
        <b val="true"/>
        <sz val="11"/>
        <rFont val="Noto Sans CJK SC"/>
        <family val="2"/>
      </rPr>
      <t xml:space="preserve">거래처별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상위 </t>
    </r>
    <r>
      <rPr>
        <b val="true"/>
        <sz val="11"/>
        <rFont val="Arial"/>
        <family val="0"/>
        <charset val="1"/>
      </rPr>
      <t xml:space="preserve">15</t>
    </r>
    <r>
      <rPr>
        <b val="true"/>
        <sz val="11"/>
        <rFont val="Noto Sans CJK SC"/>
        <family val="2"/>
      </rPr>
      <t xml:space="preserve">개사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연간</t>
    </r>
    <r>
      <rPr>
        <b val="true"/>
        <sz val="11"/>
        <rFont val="Arial"/>
        <family val="0"/>
        <charset val="1"/>
      </rPr>
      <t xml:space="preserve">)</t>
    </r>
  </si>
  <si>
    <t xml:space="preserve">거래처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</si>
  <si>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대한강재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</si>
  <si>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유창</t>
    </r>
  </si>
  <si>
    <r>
      <rPr>
        <sz val="11"/>
        <rFont val="Noto Sans CJK SC"/>
        <family val="2"/>
      </rPr>
      <t xml:space="preserve">대산공업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</si>
  <si>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정현철강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</si>
  <si>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미래이엔아이</t>
    </r>
  </si>
  <si>
    <r>
      <rPr>
        <sz val="11"/>
        <rFont val="Noto Sans CJK SC"/>
        <family val="2"/>
      </rPr>
      <t xml:space="preserve">에버스틸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</si>
  <si>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강진밴드산업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</si>
  <si>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태경스틸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통합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</si>
  <si>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미래이엔제이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</si>
  <si>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다믓이엔씨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</si>
  <si>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삼봉스틸</t>
    </r>
  </si>
  <si>
    <t xml:space="preserve">한국철강사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</si>
  <si>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다강스틸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</si>
  <si>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허브에스엔티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</si>
  <si>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대한에스엔디</t>
    </r>
  </si>
  <si>
    <r>
      <rPr>
        <i val="true"/>
        <sz val="9"/>
        <color rgb="FF6B7280"/>
        <rFont val="Noto Sans CJK SC"/>
        <family val="2"/>
      </rPr>
      <t xml:space="preserve">기타 </t>
    </r>
    <r>
      <rPr>
        <i val="true"/>
        <sz val="9"/>
        <color rgb="FF6B7280"/>
        <rFont val="Arial"/>
        <family val="0"/>
        <charset val="1"/>
      </rPr>
      <t xml:space="preserve">26</t>
    </r>
    <r>
      <rPr>
        <i val="true"/>
        <sz val="9"/>
        <color rgb="FF6B7280"/>
        <rFont val="Noto Sans CJK SC"/>
        <family val="2"/>
      </rPr>
      <t xml:space="preserve">개사 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음수 </t>
    </r>
    <r>
      <rPr>
        <i val="true"/>
        <sz val="9"/>
        <color rgb="FF6B7280"/>
        <rFont val="Arial"/>
        <family val="0"/>
        <charset val="1"/>
      </rPr>
      <t xml:space="preserve">3</t>
    </r>
    <r>
      <rPr>
        <i val="true"/>
        <sz val="9"/>
        <color rgb="FF6B7280"/>
        <rFont val="Noto Sans CJK SC"/>
        <family val="2"/>
      </rPr>
      <t xml:space="preserve">건 포함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</si>
  <si>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참고</t>
    </r>
    <r>
      <rPr>
        <sz val="9"/>
        <rFont val="Arial"/>
        <family val="0"/>
        <charset val="1"/>
      </rPr>
      <t xml:space="preserve">: greenp_production</t>
    </r>
    <r>
      <rPr>
        <sz val="9"/>
        <rFont val="Noto Sans CJK SC"/>
        <family val="2"/>
      </rPr>
      <t xml:space="preserve">에는 미강철강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원석철강</t>
    </r>
    <r>
      <rPr>
        <sz val="9"/>
        <rFont val="Arial"/>
        <family val="0"/>
        <charset val="1"/>
      </rPr>
      <t xml:space="preserve">/(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영재철강 명의의 소액 마이너스 항목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외주가공비 정산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합계 </t>
    </r>
    <r>
      <rPr>
        <sz val="9"/>
        <rFont val="Arial"/>
        <family val="0"/>
        <charset val="1"/>
      </rPr>
      <t xml:space="preserve">-1,787,550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이 포함되어 있어 순수 고객 매출과 약간의 차감 조정이 섞여 있습니다</t>
    </r>
    <r>
      <rPr>
        <sz val="9"/>
        <rFont val="Arial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</si>
  <si>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참고</t>
    </r>
    <r>
      <rPr>
        <sz val="9"/>
        <rFont val="Arial"/>
        <family val="0"/>
        <charset val="1"/>
      </rPr>
      <t xml:space="preserve">: ERP </t>
    </r>
    <r>
      <rPr>
        <sz val="9"/>
        <rFont val="Noto Sans CJK SC"/>
        <family val="2"/>
      </rPr>
      <t xml:space="preserve">발생주의 매출 합계</t>
    </r>
    <r>
      <rPr>
        <sz val="9"/>
        <rFont val="Arial"/>
        <family val="0"/>
        <charset val="1"/>
      </rPr>
      <t xml:space="preserve">(673,459,335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와 은행 실입금 기준 매출채권 회수액</t>
    </r>
    <r>
      <rPr>
        <sz val="9"/>
        <rFont val="Arial"/>
        <family val="0"/>
        <charset val="1"/>
      </rPr>
      <t xml:space="preserve">(746,320,800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약 </t>
    </r>
    <r>
      <rPr>
        <sz val="9"/>
        <rFont val="Arial"/>
        <family val="0"/>
        <charset val="1"/>
      </rPr>
      <t xml:space="preserve">72,861,465</t>
    </r>
    <r>
      <rPr>
        <sz val="9"/>
        <rFont val="Noto Sans CJK SC"/>
        <family val="2"/>
      </rPr>
      <t xml:space="preserve">원 차이가 있습니다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결제 시차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전기 작업분 당기 회수 등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또는 </t>
    </r>
    <r>
      <rPr>
        <sz val="9"/>
        <rFont val="Arial"/>
        <family val="0"/>
        <charset val="1"/>
      </rPr>
      <t xml:space="preserve">ERP </t>
    </r>
    <r>
      <rPr>
        <sz val="9"/>
        <rFont val="Noto Sans CJK SC"/>
        <family val="2"/>
      </rPr>
      <t xml:space="preserve">미반영 매출 가능성이 있어 확인이 필요합니다</t>
    </r>
    <r>
      <rPr>
        <sz val="9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</si>
  <si>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오성철강 </t>
    </r>
    <r>
      <rPr>
        <b val="true"/>
        <sz val="14"/>
        <rFont val="Arial"/>
        <family val="0"/>
        <charset val="1"/>
      </rPr>
      <t xml:space="preserve">2025.09~2026.08 </t>
    </r>
    <r>
      <rPr>
        <b val="true"/>
        <sz val="14"/>
        <rFont val="Noto Sans CJK SC"/>
        <family val="2"/>
      </rPr>
      <t xml:space="preserve">스크랩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고철</t>
    </r>
    <r>
      <rPr>
        <b val="true"/>
        <sz val="14"/>
        <rFont val="Arial"/>
        <family val="0"/>
        <charset val="1"/>
      </rPr>
      <t xml:space="preserve">) </t>
    </r>
    <r>
      <rPr>
        <b val="true"/>
        <sz val="14"/>
        <rFont val="Noto Sans CJK SC"/>
        <family val="2"/>
      </rPr>
      <t xml:space="preserve">매출</t>
    </r>
  </si>
  <si>
    <r>
      <rPr>
        <i val="true"/>
        <sz val="9"/>
        <color rgb="FF6B7280"/>
        <rFont val="Arial"/>
        <family val="0"/>
        <charset val="1"/>
      </rPr>
      <t xml:space="preserve">Source: </t>
    </r>
    <r>
      <rPr>
        <i val="true"/>
        <sz val="9"/>
        <color rgb="FF6B7280"/>
        <rFont val="Noto Sans CJK SC"/>
        <family val="2"/>
      </rPr>
      <t xml:space="preserve">거래내역조회</t>
    </r>
    <r>
      <rPr>
        <i val="true"/>
        <sz val="9"/>
        <color rgb="FF6B7280"/>
        <rFont val="Arial"/>
        <family val="0"/>
        <charset val="1"/>
      </rPr>
      <t xml:space="preserve">20260901(</t>
    </r>
    <r>
      <rPr>
        <i val="true"/>
        <sz val="9"/>
        <color rgb="FF6B7280"/>
        <rFont val="Noto Sans CJK SC"/>
        <family val="2"/>
      </rPr>
      <t xml:space="preserve">우리은행 스크랩</t>
    </r>
    <r>
      <rPr>
        <i val="true"/>
        <sz val="9"/>
        <color rgb="FF6B7280"/>
        <rFont val="Arial"/>
        <family val="0"/>
        <charset val="1"/>
      </rPr>
      <t xml:space="preserve">).xls — </t>
    </r>
    <r>
      <rPr>
        <i val="true"/>
        <sz val="9"/>
        <color rgb="FF6B7280"/>
        <rFont val="Noto Sans CJK SC"/>
        <family val="2"/>
      </rPr>
      <t xml:space="preserve">우리은행 별도계좌 </t>
    </r>
    <r>
      <rPr>
        <i val="true"/>
        <sz val="9"/>
        <color rgb="FF6B7280"/>
        <rFont val="Arial"/>
        <family val="0"/>
        <charset val="1"/>
      </rPr>
      <t xml:space="preserve">1005-203-068218 (</t>
    </r>
    <r>
      <rPr>
        <i val="true"/>
        <sz val="9"/>
        <color rgb="FF6B7280"/>
        <rFont val="Noto Sans CJK SC"/>
        <family val="2"/>
      </rPr>
      <t xml:space="preserve">그린</t>
    </r>
    <r>
      <rPr>
        <i val="true"/>
        <sz val="9"/>
        <color rgb="FF6B7280"/>
        <rFont val="Arial"/>
        <family val="0"/>
        <charset val="1"/>
      </rPr>
      <t xml:space="preserve">ERP·</t>
    </r>
    <r>
      <rPr>
        <i val="true"/>
        <sz val="9"/>
        <color rgb="FF6B7280"/>
        <rFont val="Noto Sans CJK SC"/>
        <family val="2"/>
      </rPr>
      <t xml:space="preserve">주계좌 어디에도 없던 제</t>
    </r>
    <r>
      <rPr>
        <i val="true"/>
        <sz val="9"/>
        <color rgb="FF6B7280"/>
        <rFont val="Arial"/>
        <family val="0"/>
        <charset val="1"/>
      </rPr>
      <t xml:space="preserve">3</t>
    </r>
    <r>
      <rPr>
        <i val="true"/>
        <sz val="9"/>
        <color rgb="FF6B7280"/>
        <rFont val="Noto Sans CJK SC"/>
        <family val="2"/>
      </rPr>
      <t xml:space="preserve">의 계좌</t>
    </r>
    <r>
      <rPr>
        <i val="true"/>
        <sz val="9"/>
        <color rgb="FF6B7280"/>
        <rFont val="Arial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이번에 확인됨</t>
    </r>
    <r>
      <rPr>
        <i val="true"/>
        <sz val="9"/>
        <color rgb="FF6B7280"/>
        <rFont val="Arial"/>
        <family val="0"/>
        <charset val="1"/>
      </rPr>
      <t xml:space="preserve">)</t>
    </r>
  </si>
  <si>
    <t xml:space="preserve">월별 스크랩 매출</t>
  </si>
  <si>
    <r>
      <rPr>
        <b val="true"/>
        <sz val="11"/>
        <color rgb="FFFFFFFF"/>
        <rFont val="Noto Sans CJK SC"/>
        <family val="2"/>
      </rPr>
      <t xml:space="preserve">은행입금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실제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</si>
  <si>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현금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가정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Noto Sans CJK SC"/>
        <family val="2"/>
      </rPr>
      <t xml:space="preserve">월 </t>
    </r>
    <r>
      <rPr>
        <b val="true"/>
        <sz val="11"/>
        <color rgb="FFFFFFFF"/>
        <rFont val="Arial"/>
        <family val="0"/>
        <charset val="1"/>
      </rPr>
      <t xml:space="preserve">400</t>
    </r>
    <r>
      <rPr>
        <b val="true"/>
        <sz val="11"/>
        <color rgb="FFFFFFFF"/>
        <rFont val="Noto Sans CJK SC"/>
        <family val="2"/>
      </rPr>
      <t xml:space="preserve">만원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</si>
  <si>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B45309"/>
        <rFont val="Noto Sans CJK SC"/>
        <family val="2"/>
      </rPr>
      <t xml:space="preserve">※ 노란 셀</t>
    </r>
    <r>
      <rPr>
        <i val="true"/>
        <sz val="9"/>
        <color rgb="FFB45309"/>
        <rFont val="Arial"/>
        <family val="0"/>
        <charset val="1"/>
      </rPr>
      <t xml:space="preserve">(</t>
    </r>
    <r>
      <rPr>
        <i val="true"/>
        <sz val="9"/>
        <color rgb="FFB45309"/>
        <rFont val="Noto Sans CJK SC"/>
        <family val="2"/>
      </rPr>
      <t xml:space="preserve">현금 가정</t>
    </r>
    <r>
      <rPr>
        <i val="true"/>
        <sz val="9"/>
        <color rgb="FFB45309"/>
        <rFont val="Arial"/>
        <family val="0"/>
        <charset val="1"/>
      </rPr>
      <t xml:space="preserve">)</t>
    </r>
    <r>
      <rPr>
        <i val="true"/>
        <sz val="9"/>
        <color rgb="FFB45309"/>
        <rFont val="Noto Sans CJK SC"/>
        <family val="2"/>
      </rPr>
      <t xml:space="preserve">은 실제 장부</t>
    </r>
    <r>
      <rPr>
        <i val="true"/>
        <sz val="9"/>
        <color rgb="FFB45309"/>
        <rFont val="Arial"/>
        <family val="0"/>
        <charset val="1"/>
      </rPr>
      <t xml:space="preserve">·</t>
    </r>
    <r>
      <rPr>
        <i val="true"/>
        <sz val="9"/>
        <color rgb="FFB45309"/>
        <rFont val="Noto Sans CJK SC"/>
        <family val="2"/>
      </rPr>
      <t xml:space="preserve">계좌 근거가 없는 대표님 말씀 기준 추정치입니다</t>
    </r>
    <r>
      <rPr>
        <i val="true"/>
        <sz val="9"/>
        <color rgb="FFB45309"/>
        <rFont val="Arial"/>
        <family val="0"/>
        <charset val="1"/>
      </rPr>
      <t xml:space="preserve">. </t>
    </r>
    <r>
      <rPr>
        <i val="true"/>
        <sz val="9"/>
        <color rgb="FFB45309"/>
        <rFont val="Noto Sans CJK SC"/>
        <family val="2"/>
      </rPr>
      <t xml:space="preserve">은행입금분만 확정 사실입니다</t>
    </r>
    <r>
      <rPr>
        <i val="true"/>
        <sz val="9"/>
        <color rgb="FFB45309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</si>
  <si>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은행입금 원본 거래내역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계좌 </t>
    </r>
    <r>
      <rPr>
        <b val="true"/>
        <sz val="11"/>
        <rFont val="Arial"/>
        <family val="0"/>
        <charset val="1"/>
      </rPr>
      <t xml:space="preserve">1005-203-068218)</t>
    </r>
  </si>
  <si>
    <t xml:space="preserve">거래일시</t>
  </si>
  <si>
    <t xml:space="preserve">구분</t>
  </si>
  <si>
    <t xml:space="preserve">내용</t>
  </si>
  <si>
    <t xml:space="preserve">입금액</t>
  </si>
  <si>
    <t xml:space="preserve">2025.09.09 20:28</t>
  </si>
  <si>
    <t xml:space="preserve">부가세</t>
  </si>
  <si>
    <t xml:space="preserve">감사합니다</t>
  </si>
  <si>
    <t xml:space="preserve">2025.09.10 14:12</t>
  </si>
  <si>
    <t xml:space="preserve">2025.09.20 08:43</t>
  </si>
  <si>
    <t xml:space="preserve">예금결산</t>
  </si>
  <si>
    <t xml:space="preserve">예금결산이자</t>
  </si>
  <si>
    <t xml:space="preserve">2025.09.26 15:26</t>
  </si>
  <si>
    <t xml:space="preserve">2025.10.28 10:38</t>
  </si>
  <si>
    <t xml:space="preserve">2025.11.18 10:53</t>
  </si>
  <si>
    <t xml:space="preserve">2025.11.27 11:10</t>
  </si>
  <si>
    <t xml:space="preserve">2025.11.28 15:33</t>
  </si>
  <si>
    <t xml:space="preserve">2025.12.09 14:47</t>
  </si>
  <si>
    <t xml:space="preserve">2025.12.20 08:12</t>
  </si>
  <si>
    <t xml:space="preserve">2025.12.30 13:49</t>
  </si>
  <si>
    <t xml:space="preserve">2025.12.31 09:21</t>
  </si>
  <si>
    <t xml:space="preserve">2026.01.09 11:50</t>
  </si>
  <si>
    <t xml:space="preserve">2026.01.14 10:55</t>
  </si>
  <si>
    <t xml:space="preserve">2026.01.20 14:43</t>
  </si>
  <si>
    <t xml:space="preserve">2026.01.30 08:58</t>
  </si>
  <si>
    <t xml:space="preserve">2026.02.10 09:06</t>
  </si>
  <si>
    <t xml:space="preserve">2026.03.04 09:51</t>
  </si>
  <si>
    <t xml:space="preserve">2026.03.19 10:03</t>
  </si>
  <si>
    <t xml:space="preserve">2026.03.21 08:53</t>
  </si>
  <si>
    <t xml:space="preserve">2026.04.01 08:22</t>
  </si>
  <si>
    <t xml:space="preserve">2026.04.13 09:29</t>
  </si>
  <si>
    <t xml:space="preserve">2026.05.07 10:58</t>
  </si>
  <si>
    <t xml:space="preserve">2026.05.21 13:08</t>
  </si>
  <si>
    <t xml:space="preserve">2026.05.27 21:51</t>
  </si>
  <si>
    <t xml:space="preserve">2026.06.02 10:13</t>
  </si>
  <si>
    <t xml:space="preserve">2026.06.20 08:39</t>
  </si>
  <si>
    <t xml:space="preserve">2026.06.25 08:37</t>
  </si>
  <si>
    <t xml:space="preserve">2026.07.06 11:03</t>
  </si>
  <si>
    <t xml:space="preserve">2026.07.21 07:59</t>
  </si>
  <si>
    <t xml:space="preserve">2026.07.21 09:04</t>
  </si>
  <si>
    <t xml:space="preserve">2026.08.13 09:13</t>
  </si>
  <si>
    <t xml:space="preserve">2026.08.14 08:55</t>
  </si>
  <si>
    <t xml:space="preserve">2026.08.25 08:23</t>
  </si>
  <si>
    <r>
      <rPr>
        <b val="true"/>
        <sz val="11"/>
        <rFont val="Noto Sans CJK SC"/>
        <family val="2"/>
      </rPr>
      <t xml:space="preserve">합계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이자수익 포함</t>
    </r>
    <r>
      <rPr>
        <b val="true"/>
        <sz val="11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</si>
  <si>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참고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이 계좌에서 자사 주계좌로 이체된 내부이체 합계 </t>
    </r>
    <r>
      <rPr>
        <sz val="9"/>
        <rFont val="Arial"/>
        <family val="0"/>
        <charset val="1"/>
      </rPr>
      <t xml:space="preserve">119,000,000</t>
    </r>
    <r>
      <rPr>
        <sz val="9"/>
        <rFont val="Noto Sans CJK SC"/>
        <family val="2"/>
      </rPr>
      <t xml:space="preserve">원</t>
    </r>
    <r>
      <rPr>
        <sz val="9"/>
        <rFont val="Arial"/>
        <family val="0"/>
        <charset val="1"/>
      </rPr>
      <t xml:space="preserve">(10</t>
    </r>
    <r>
      <rPr>
        <sz val="9"/>
        <rFont val="Noto Sans CJK SC"/>
        <family val="2"/>
      </rPr>
      <t xml:space="preserve">건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매출이 아니며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주계좌 쪽 비용</t>
    </r>
    <r>
      <rPr>
        <sz val="9"/>
        <rFont val="Arial"/>
        <family val="0"/>
        <charset val="1"/>
      </rPr>
      <t xml:space="preserve">_</t>
    </r>
    <r>
      <rPr>
        <sz val="9"/>
        <rFont val="Noto Sans CJK SC"/>
        <family val="2"/>
      </rPr>
      <t xml:space="preserve">거래내역 시트에서 이미 </t>
    </r>
    <r>
      <rPr>
        <sz val="9"/>
        <rFont val="Arial"/>
        <family val="0"/>
        <charset val="1"/>
      </rPr>
      <t xml:space="preserve">"</t>
    </r>
    <r>
      <rPr>
        <sz val="9"/>
        <rFont val="Noto Sans CJK SC"/>
        <family val="2"/>
      </rPr>
      <t xml:space="preserve">제외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계좌간 자금이체</t>
    </r>
    <r>
      <rPr>
        <sz val="9"/>
        <rFont val="Arial"/>
        <family val="0"/>
        <charset val="1"/>
      </rPr>
      <t xml:space="preserve">" </t>
    </r>
    <r>
      <rPr>
        <sz val="9"/>
        <rFont val="Noto Sans CJK SC"/>
        <family val="2"/>
      </rPr>
      <t xml:space="preserve">등으로 처리되어 중복 계산되지 않습니다</t>
    </r>
    <r>
      <rPr>
        <sz val="9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</si>
  <si>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2025.09.01 ~ 2026.09.01 </t>
    </r>
    <r>
      <rPr>
        <b val="true"/>
        <sz val="14"/>
        <rFont val="Noto Sans CJK SC"/>
        <family val="2"/>
      </rPr>
      <t xml:space="preserve">은행 거래내역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하나은행 </t>
    </r>
    <r>
      <rPr>
        <b val="true"/>
        <sz val="14"/>
        <rFont val="Arial"/>
        <family val="0"/>
        <charset val="1"/>
      </rPr>
      <t xml:space="preserve">433-910049-16804, </t>
    </r>
    <r>
      <rPr>
        <b val="true"/>
        <sz val="14"/>
        <rFont val="Noto Sans CJK SC"/>
        <family val="2"/>
      </rPr>
      <t xml:space="preserve">우리은행 </t>
    </r>
    <r>
      <rPr>
        <b val="true"/>
        <sz val="14"/>
        <rFont val="Arial"/>
        <family val="0"/>
        <charset val="1"/>
      </rPr>
      <t xml:space="preserve">1005-404-709760)</t>
    </r>
  </si>
  <si>
    <r>
      <rPr>
        <i val="true"/>
        <sz val="9"/>
        <color rgb="FF6B7280"/>
        <rFont val="Arial"/>
        <family val="0"/>
        <charset val="1"/>
      </rPr>
      <t xml:space="preserve">Source: </t>
    </r>
    <r>
      <rPr>
        <i val="true"/>
        <sz val="9"/>
        <color rgb="FF6B7280"/>
        <rFont val="Noto Sans CJK SC"/>
        <family val="2"/>
      </rPr>
      <t xml:space="preserve">거래내역조회</t>
    </r>
    <r>
      <rPr>
        <i val="true"/>
        <sz val="9"/>
        <color rgb="FF6B7280"/>
        <rFont val="Arial"/>
        <family val="0"/>
        <charset val="1"/>
      </rPr>
      <t xml:space="preserve">20260901(</t>
    </r>
    <r>
      <rPr>
        <i val="true"/>
        <sz val="9"/>
        <color rgb="FF6B7280"/>
        <rFont val="Noto Sans CJK SC"/>
        <family val="2"/>
      </rPr>
      <t xml:space="preserve">우리은행내역</t>
    </r>
    <r>
      <rPr>
        <i val="true"/>
        <sz val="9"/>
        <color rgb="FF6B7280"/>
        <rFont val="Arial"/>
        <family val="0"/>
        <charset val="1"/>
      </rPr>
      <t xml:space="preserve">1</t>
    </r>
    <r>
      <rPr>
        <i val="true"/>
        <sz val="9"/>
        <color rgb="FF6B7280"/>
        <rFont val="Noto Sans CJK SC"/>
        <family val="2"/>
      </rPr>
      <t xml:space="preserve">변</t>
    </r>
    <r>
      <rPr>
        <i val="true"/>
        <sz val="9"/>
        <color rgb="FF6B7280"/>
        <rFont val="Arial"/>
        <family val="0"/>
        <charset val="1"/>
      </rPr>
      <t xml:space="preserve">).xls, </t>
    </r>
    <r>
      <rPr>
        <i val="true"/>
        <sz val="9"/>
        <color rgb="FF6B7280"/>
        <rFont val="Noto Sans CJK SC"/>
        <family val="2"/>
      </rPr>
      <t xml:space="preserve">거래내역조회</t>
    </r>
    <r>
      <rPr>
        <i val="true"/>
        <sz val="9"/>
        <color rgb="FF6B7280"/>
        <rFont val="Arial"/>
        <family val="0"/>
        <charset val="1"/>
      </rPr>
      <t xml:space="preserve">_20260901(</t>
    </r>
    <r>
      <rPr>
        <i val="true"/>
        <sz val="9"/>
        <color rgb="FF6B7280"/>
        <rFont val="Noto Sans CJK SC"/>
        <family val="2"/>
      </rPr>
      <t xml:space="preserve">하나은행</t>
    </r>
    <r>
      <rPr>
        <i val="true"/>
        <sz val="9"/>
        <color rgb="FF6B7280"/>
        <rFont val="Arial"/>
        <family val="0"/>
        <charset val="1"/>
      </rPr>
      <t xml:space="preserve">1</t>
    </r>
    <r>
      <rPr>
        <i val="true"/>
        <sz val="9"/>
        <color rgb="FF6B7280"/>
        <rFont val="Noto Sans CJK SC"/>
        <family val="2"/>
      </rPr>
      <t xml:space="preserve">년치</t>
    </r>
    <r>
      <rPr>
        <i val="true"/>
        <sz val="9"/>
        <color rgb="FF6B7280"/>
        <rFont val="Arial"/>
        <family val="0"/>
        <charset val="1"/>
      </rPr>
      <t xml:space="preserve">).xls. </t>
    </r>
    <r>
      <rPr>
        <i val="true"/>
        <sz val="9"/>
        <color rgb="FF6B7280"/>
        <rFont val="Noto Sans CJK SC"/>
        <family val="2"/>
      </rPr>
      <t xml:space="preserve">회색 행</t>
    </r>
    <r>
      <rPr>
        <i val="true"/>
        <sz val="9"/>
        <color rgb="FF6B7280"/>
        <rFont val="Arial"/>
        <family val="0"/>
        <charset val="1"/>
      </rPr>
      <t xml:space="preserve">=P&amp;L </t>
    </r>
    <r>
      <rPr>
        <i val="true"/>
        <sz val="9"/>
        <color rgb="FF6B7280"/>
        <rFont val="Noto Sans CJK SC"/>
        <family val="2"/>
      </rPr>
      <t xml:space="preserve">집계 제외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설비투자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매출채권회수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계좌간이체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투자활동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잡수익</t>
    </r>
    <r>
      <rPr>
        <i val="true"/>
        <sz val="9"/>
        <color rgb="FF6B7280"/>
        <rFont val="Arial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환급</t>
    </r>
    <r>
      <rPr>
        <i val="true"/>
        <sz val="9"/>
        <color rgb="FF6B7280"/>
        <rFont val="Arial"/>
        <family val="0"/>
        <charset val="1"/>
      </rPr>
      <t xml:space="preserve">), </t>
    </r>
    <r>
      <rPr>
        <i val="true"/>
        <sz val="9"/>
        <color rgb="FF6B7280"/>
        <rFont val="Noto Sans CJK SC"/>
        <family val="2"/>
      </rPr>
      <t xml:space="preserve">노란 셀</t>
    </r>
    <r>
      <rPr>
        <i val="true"/>
        <sz val="9"/>
        <color rgb="FF6B7280"/>
        <rFont val="Arial"/>
        <family val="0"/>
        <charset val="1"/>
      </rPr>
      <t xml:space="preserve">=</t>
    </r>
    <r>
      <rPr>
        <i val="true"/>
        <sz val="9"/>
        <color rgb="FF6B7280"/>
        <rFont val="Noto Sans CJK SC"/>
        <family val="2"/>
      </rPr>
      <t xml:space="preserve">계정과목 확인 필요</t>
    </r>
    <r>
      <rPr>
        <i val="true"/>
        <sz val="9"/>
        <color rgb="FF6B7280"/>
        <rFont val="Arial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파란 행</t>
    </r>
    <r>
      <rPr>
        <i val="true"/>
        <sz val="9"/>
        <color rgb="FF6B7280"/>
        <rFont val="Arial"/>
        <family val="0"/>
        <charset val="1"/>
      </rPr>
      <t xml:space="preserve">=</t>
    </r>
    <r>
      <rPr>
        <i val="true"/>
        <sz val="9"/>
        <color rgb="FF6B7280"/>
        <rFont val="Noto Sans CJK SC"/>
        <family val="2"/>
      </rPr>
      <t xml:space="preserve">대표자 관련 확인필요 특수항목</t>
    </r>
  </si>
  <si>
    <t xml:space="preserve">은행</t>
  </si>
  <si>
    <t xml:space="preserve">출금액</t>
  </si>
  <si>
    <t xml:space="preserve">거래후잔액</t>
  </si>
  <si>
    <t xml:space="preserve">카테고리</t>
  </si>
  <si>
    <t xml:space="preserve">하나은행</t>
  </si>
  <si>
    <t xml:space="preserve">2026-08-31 16:03:52</t>
  </si>
  <si>
    <t xml:space="preserve">타행이체</t>
  </si>
  <si>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매출채권 회수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수금</t>
    </r>
    <r>
      <rPr>
        <sz val="11"/>
        <color theme="1"/>
        <rFont val="Calibri"/>
        <family val="2"/>
        <charset val="1"/>
      </rPr>
      <t xml:space="preserve">)</t>
    </r>
  </si>
  <si>
    <t xml:space="preserve">2026-08-31 15:54:17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</si>
  <si>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디엘메탈</t>
    </r>
  </si>
  <si>
    <t xml:space="preserve">2026-08-31 15:48:00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</si>
  <si>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기업은행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</si>
  <si>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위드환경보건 </t>
    </r>
    <r>
      <rPr>
        <sz val="11"/>
        <rFont val="Arial"/>
        <family val="0"/>
        <charset val="1"/>
      </rPr>
      <t xml:space="preserve">((5</t>
    </r>
    <r>
      <rPr>
        <sz val="11"/>
        <rFont val="Noto Sans CJK SC"/>
        <family val="2"/>
      </rPr>
      <t xml:space="preserve">월누락분</t>
    </r>
    <r>
      <rPr>
        <sz val="11"/>
        <rFont val="Arial"/>
        <family val="0"/>
        <charset val="1"/>
      </rPr>
      <t xml:space="preserve">))</t>
    </r>
  </si>
  <si>
    <r>
      <rPr>
        <sz val="11"/>
        <color theme="1"/>
        <rFont val="Noto Sans CJK SC"/>
        <family val="2"/>
      </rPr>
      <t xml:space="preserve">지급수수료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환경측정</t>
    </r>
  </si>
  <si>
    <t xml:space="preserve">2026-08-31 15:47:59</t>
  </si>
  <si>
    <r>
      <rPr>
        <sz val="11"/>
        <rFont val="Noto Sans CJK SC"/>
        <family val="2"/>
      </rPr>
      <t xml:space="preserve">승원철강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철밴딘</t>
    </r>
    <r>
      <rPr>
        <sz val="11"/>
        <rFont val="Arial"/>
        <family val="0"/>
        <charset val="1"/>
      </rPr>
      <t xml:space="preserve">19m))</t>
    </r>
  </si>
  <si>
    <r>
      <rPr>
        <sz val="11"/>
        <color theme="1"/>
        <rFont val="Noto Sans CJK SC"/>
        <family val="2"/>
      </rPr>
      <t xml:space="preserve">외주가공비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자재비</t>
    </r>
  </si>
  <si>
    <t xml:space="preserve">2026-08-31 15:47:58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</si>
  <si>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신한은행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</si>
  <si>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최윤애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원프드식당</t>
    </r>
    <r>
      <rPr>
        <sz val="11"/>
        <rFont val="Arial"/>
        <family val="0"/>
        <charset val="1"/>
      </rPr>
      <t xml:space="preserve">))</t>
    </r>
  </si>
  <si>
    <r>
      <rPr>
        <sz val="11"/>
        <color theme="1"/>
        <rFont val="Noto Sans CJK SC"/>
        <family val="2"/>
      </rPr>
      <t xml:space="preserve">복리후생비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식대</t>
    </r>
  </si>
  <si>
    <t xml:space="preserve">2026-08-31 15:47:57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</si>
  <si>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우체국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</si>
  <si>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윤영기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스키드</t>
    </r>
    <r>
      <rPr>
        <sz val="11"/>
        <rFont val="Arial"/>
        <family val="0"/>
        <charset val="1"/>
      </rPr>
      <t xml:space="preserve">=33))</t>
    </r>
  </si>
  <si>
    <r>
      <rPr>
        <sz val="11"/>
        <color theme="1"/>
        <rFont val="Noto Sans CJK SC"/>
        <family val="2"/>
      </rPr>
      <t xml:space="preserve">수선비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소모품비</t>
    </r>
  </si>
  <si>
    <t xml:space="preserve">2026-08-31 14:13:29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</si>
  <si>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주찬스틸</t>
    </r>
  </si>
  <si>
    <t xml:space="preserve">2026-08-31 14:12:12</t>
  </si>
  <si>
    <t xml:space="preserve">주식회사인창</t>
  </si>
  <si>
    <t xml:space="preserve">2026-08-31 13:33:22</t>
  </si>
  <si>
    <t xml:space="preserve">2026-08-31 10:19:02</t>
  </si>
  <si>
    <t xml:space="preserve">2026-08-28 11:22:27</t>
  </si>
  <si>
    <t xml:space="preserve">2026-08-27 09:37:46</t>
  </si>
  <si>
    <t xml:space="preserve">스마트개발비용</t>
  </si>
  <si>
    <r>
      <rPr>
        <sz val="11"/>
        <color theme="1"/>
        <rFont val="Noto Sans CJK SC"/>
        <family val="2"/>
      </rPr>
      <t xml:space="preserve">무형자산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개발비</t>
    </r>
  </si>
  <si>
    <t xml:space="preserve">2026-08-27 09:37:45</t>
  </si>
  <si>
    <t xml:space="preserve">2026-08-27 08:50:44</t>
  </si>
  <si>
    <t xml:space="preserve">2026-08-27 04:25:44</t>
  </si>
  <si>
    <t xml:space="preserve">통신요금</t>
  </si>
  <si>
    <t xml:space="preserve">KT5392716508</t>
  </si>
  <si>
    <t xml:space="preserve">통신비</t>
  </si>
  <si>
    <t xml:space="preserve">2026-08-26 13:10:34</t>
  </si>
  <si>
    <r>
      <rPr>
        <sz val="11"/>
        <rFont val="Noto Sans CJK SC"/>
        <family val="2"/>
      </rPr>
      <t xml:space="preserve">대홍엔지니어링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레베링기계잔금</t>
    </r>
    <r>
      <rPr>
        <sz val="11"/>
        <rFont val="Arial"/>
        <family val="0"/>
        <charset val="1"/>
      </rPr>
      <t xml:space="preserve">))</t>
    </r>
  </si>
  <si>
    <r>
      <rPr>
        <sz val="11"/>
        <color theme="1"/>
        <rFont val="Noto Sans CJK SC"/>
        <family val="2"/>
      </rPr>
      <t xml:space="preserve">설비투자</t>
    </r>
    <r>
      <rPr>
        <sz val="11"/>
        <color theme="1"/>
        <rFont val="Calibri"/>
        <family val="2"/>
        <charset val="1"/>
      </rPr>
      <t xml:space="preserve">(CAPEX)-</t>
    </r>
    <r>
      <rPr>
        <sz val="11"/>
        <color theme="1"/>
        <rFont val="Noto Sans CJK SC"/>
        <family val="2"/>
      </rPr>
      <t xml:space="preserve">비용아님</t>
    </r>
  </si>
  <si>
    <t xml:space="preserve">2026-08-25 05:02:38</t>
  </si>
  <si>
    <t xml:space="preserve">CMS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</si>
  <si>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177</t>
    </r>
  </si>
  <si>
    <r>
      <rPr>
        <sz val="11"/>
        <color theme="1"/>
        <rFont val="Noto Sans CJK SC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노란우산공제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대표자</t>
    </r>
    <r>
      <rPr>
        <sz val="11"/>
        <color theme="1"/>
        <rFont val="Calibri"/>
        <family val="2"/>
        <charset val="1"/>
      </rPr>
      <t xml:space="preserve">)</t>
    </r>
  </si>
  <si>
    <t xml:space="preserve">2026-08-25 04:46:11</t>
  </si>
  <si>
    <t xml:space="preserve">GIRO</t>
  </si>
  <si>
    <t xml:space="preserve">S1(N2328731)</t>
  </si>
  <si>
    <r>
      <rPr>
        <sz val="11"/>
        <color theme="1"/>
        <rFont val="Noto Sans CJK SC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)</t>
    </r>
  </si>
  <si>
    <t xml:space="preserve">2026-08-25 04:41:30</t>
  </si>
  <si>
    <t xml:space="preserve">KT0432211108</t>
  </si>
  <si>
    <t xml:space="preserve">2026-08-25 04:41:28</t>
  </si>
  <si>
    <t xml:space="preserve">KT0434510508</t>
  </si>
  <si>
    <t xml:space="preserve">2026-08-24 04:35:06</t>
  </si>
  <si>
    <t xml:space="preserve">하나카드</t>
  </si>
  <si>
    <t xml:space="preserve">하나카드기업</t>
  </si>
  <si>
    <t xml:space="preserve">카드대금</t>
  </si>
  <si>
    <t xml:space="preserve">2026-08-20 04:37:00</t>
  </si>
  <si>
    <t xml:space="preserve">14SAMSUN961128</t>
  </si>
  <si>
    <r>
      <rPr>
        <sz val="11"/>
        <color theme="1"/>
        <rFont val="Noto Sans CJK SC"/>
        <family val="2"/>
      </rPr>
      <t xml:space="preserve">복리후생비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단체보험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</si>
  <si>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14SAMSUN981024</t>
  </si>
  <si>
    <t xml:space="preserve">2026-08-20 04:36:59</t>
  </si>
  <si>
    <t xml:space="preserve">17SAMSUN960916</t>
  </si>
  <si>
    <t xml:space="preserve">17SAMSUN990514</t>
  </si>
  <si>
    <t xml:space="preserve">24SAMSUN880224</t>
  </si>
  <si>
    <t xml:space="preserve">2026-08-19 14:31:10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</si>
  <si>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국민은행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</si>
  <si>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박종승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천안중기공업</t>
    </r>
  </si>
  <si>
    <t xml:space="preserve">2026-08-19 14:24:25</t>
  </si>
  <si>
    <r>
      <rPr>
        <sz val="11"/>
        <rFont val="Noto Sans CJK SC"/>
        <family val="2"/>
      </rPr>
      <t xml:space="preserve">생산기술원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레베링이자</t>
    </r>
    <r>
      <rPr>
        <sz val="11"/>
        <rFont val="Arial"/>
        <family val="0"/>
        <charset val="1"/>
      </rPr>
      <t xml:space="preserve">))</t>
    </r>
  </si>
  <si>
    <t xml:space="preserve">이자비용</t>
  </si>
  <si>
    <t xml:space="preserve">2026-08-19 14:24:24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</si>
  <si>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농협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</si>
  <si>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김석규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외부간판</t>
    </r>
    <r>
      <rPr>
        <sz val="11"/>
        <rFont val="Arial"/>
        <family val="0"/>
        <charset val="1"/>
      </rPr>
      <t xml:space="preserve">*3))</t>
    </r>
  </si>
  <si>
    <r>
      <rPr>
        <sz val="11"/>
        <color theme="1"/>
        <rFont val="Noto Sans CJK SC"/>
        <family val="2"/>
      </rPr>
      <t xml:space="preserve">수선비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광고</t>
    </r>
  </si>
  <si>
    <r>
      <rPr>
        <sz val="11"/>
        <rFont val="Noto Sans CJK SC"/>
        <family val="2"/>
      </rPr>
      <t xml:space="preserve">위드환경원구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작업측정료</t>
    </r>
    <r>
      <rPr>
        <sz val="11"/>
        <rFont val="Arial"/>
        <family val="0"/>
        <charset val="1"/>
      </rPr>
      <t xml:space="preserve">))</t>
    </r>
  </si>
  <si>
    <t xml:space="preserve">2026-08-18 14:57:14</t>
  </si>
  <si>
    <t xml:space="preserve">2026-08-14 10:22:14</t>
  </si>
  <si>
    <t xml:space="preserve">대체</t>
  </si>
  <si>
    <t xml:space="preserve">퇴직연금이체거래</t>
  </si>
  <si>
    <r>
      <rPr>
        <sz val="11"/>
        <color theme="1"/>
        <rFont val="Noto Sans CJK SC"/>
        <family val="2"/>
      </rPr>
      <t xml:space="preserve">인건비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퇴직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연금</t>
    </r>
  </si>
  <si>
    <t xml:space="preserve">2026-08-14 10:01:32</t>
  </si>
  <si>
    <t xml:space="preserve">2026-08-13 04:40:09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</si>
  <si>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08245</t>
    </r>
  </si>
  <si>
    <r>
      <rPr>
        <sz val="11"/>
        <color theme="1"/>
        <rFont val="Noto Sans CJK SC"/>
        <family val="2"/>
      </rPr>
      <t xml:space="preserve">보험료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일반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화재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차량 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</si>
  <si>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08045</t>
    </r>
  </si>
  <si>
    <t xml:space="preserve">2026-08-12 16:26:14</t>
  </si>
  <si>
    <t xml:space="preserve">주식회사 휘</t>
  </si>
  <si>
    <t xml:space="preserve">2026-08-12 11:48:51</t>
  </si>
  <si>
    <t xml:space="preserve">공과금</t>
  </si>
  <si>
    <t xml:space="preserve">시흥시주민세</t>
  </si>
  <si>
    <t xml:space="preserve">세금과공과</t>
  </si>
  <si>
    <t xml:space="preserve">2026-08-11 12:21:26</t>
  </si>
  <si>
    <r>
      <rPr>
        <sz val="11"/>
        <rFont val="Noto Sans CJK SC"/>
        <family val="2"/>
      </rPr>
      <t xml:space="preserve">태경스틸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</si>
  <si>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2026-08-10 15:15:20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</si>
  <si>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마크급여</t>
    </r>
    <r>
      <rPr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</si>
  <si>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인건비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급여</t>
    </r>
  </si>
  <si>
    <t xml:space="preserve">2026-08-10 15:15:19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</si>
  <si>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우리은행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</si>
  <si>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울급여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나드급여</t>
    </r>
    <r>
      <rPr>
        <sz val="11"/>
        <rFont val="Arial"/>
        <family val="0"/>
        <charset val="1"/>
      </rPr>
      <t xml:space="preserve">)</t>
    </r>
  </si>
  <si>
    <t xml:space="preserve">2026-08-10 15:11:52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</si>
  <si>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아스급여</t>
    </r>
    <r>
      <rPr>
        <sz val="11"/>
        <rFont val="Arial"/>
        <family val="0"/>
        <charset val="1"/>
      </rPr>
      <t xml:space="preserve">)</t>
    </r>
  </si>
  <si>
    <t xml:space="preserve">2026-08-10 15:11:51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</si>
  <si>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키어급여</t>
    </r>
    <r>
      <rPr>
        <sz val="11"/>
        <rFont val="Arial"/>
        <family val="0"/>
        <charset val="1"/>
      </rPr>
      <t xml:space="preserve">)</t>
    </r>
  </si>
  <si>
    <t xml:space="preserve">2026-08-10 15:11:50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</si>
  <si>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멜벤급여</t>
    </r>
    <r>
      <rPr>
        <sz val="11"/>
        <rFont val="Arial"/>
        <family val="0"/>
        <charset val="1"/>
      </rPr>
      <t xml:space="preserve">)</t>
    </r>
  </si>
  <si>
    <t xml:space="preserve">2026-08-10 15:11:49</t>
  </si>
  <si>
    <t xml:space="preserve">당행송금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</si>
  <si>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김영철급여</t>
    </r>
    <r>
      <rPr>
        <sz val="11"/>
        <rFont val="Arial"/>
        <family val="0"/>
        <charset val="1"/>
      </rPr>
      <t xml:space="preserve">)</t>
    </r>
  </si>
  <si>
    <t xml:space="preserve">2026-08-10 15:11:48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</si>
  <si>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이정설급여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</si>
  <si>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전부영급여</t>
    </r>
    <r>
      <rPr>
        <sz val="11"/>
        <rFont val="Arial"/>
        <family val="0"/>
        <charset val="1"/>
      </rPr>
      <t xml:space="preserve">)</t>
    </r>
  </si>
  <si>
    <t xml:space="preserve">2026-08-10 15:11:47</t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</si>
  <si>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(SC</t>
    </r>
    <r>
      <rPr>
        <sz val="11"/>
        <rFont val="Noto Sans CJK SC"/>
        <family val="2"/>
      </rPr>
      <t xml:space="preserve">제일은행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</si>
  <si>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정대균급여</t>
    </r>
    <r>
      <rPr>
        <sz val="11"/>
        <rFont val="Arial"/>
        <family val="0"/>
        <charset val="1"/>
      </rPr>
      <t xml:space="preserve">)</t>
    </r>
  </si>
  <si>
    <t xml:space="preserve">2026-08-10 15:11:46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</si>
  <si>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정연희급여</t>
    </r>
    <r>
      <rPr>
        <sz val="11"/>
        <rFont val="Arial"/>
        <family val="0"/>
        <charset val="1"/>
      </rPr>
      <t xml:space="preserve">)</t>
    </r>
  </si>
  <si>
    <t xml:space="preserve">2026-08-10 15:11:45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</si>
  <si>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이원춘급여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</si>
  <si>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((8</t>
    </r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남은우급여</t>
    </r>
    <r>
      <rPr>
        <sz val="11"/>
        <rFont val="Arial"/>
        <family val="0"/>
        <charset val="1"/>
      </rPr>
      <t xml:space="preserve">)</t>
    </r>
  </si>
  <si>
    <t xml:space="preserve">2026-08-10 13:55:03</t>
  </si>
  <si>
    <t xml:space="preserve">2026-08-10 11:14:04</t>
  </si>
  <si>
    <t xml:space="preserve">자동이체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</si>
  <si>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</si>
  <si>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임차료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렌탈</t>
    </r>
  </si>
  <si>
    <t xml:space="preserve">2026-08-10 07:37:22</t>
  </si>
  <si>
    <t xml:space="preserve">보험료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</si>
  <si>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08-162</t>
    </r>
  </si>
  <si>
    <t xml:space="preserve">2026-08-07 12:59:14</t>
  </si>
  <si>
    <t xml:space="preserve">안산시주민세</t>
  </si>
  <si>
    <t xml:space="preserve">2026-08-07 10:56:27</t>
  </si>
  <si>
    <t xml:space="preserve">건강남은우</t>
  </si>
  <si>
    <r>
      <rPr>
        <sz val="11"/>
        <color theme="1"/>
        <rFont val="Noto Sans CJK SC"/>
        <family val="2"/>
      </rPr>
      <t xml:space="preserve">복리후생비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건강검진</t>
    </r>
  </si>
  <si>
    <t xml:space="preserve">2026-08-05 16:43:36</t>
  </si>
  <si>
    <r>
      <rPr>
        <sz val="11"/>
        <rFont val="Noto Sans CJK SC"/>
        <family val="2"/>
      </rPr>
      <t xml:space="preserve">모비류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통</t>
    </r>
  </si>
  <si>
    <t xml:space="preserve">2026-08-05 16:43:34</t>
  </si>
  <si>
    <t xml:space="preserve">대산공업작업</t>
  </si>
  <si>
    <r>
      <rPr>
        <sz val="11"/>
        <rFont val="Arial"/>
        <family val="0"/>
        <charset val="1"/>
      </rPr>
      <t xml:space="preserve">46</t>
    </r>
    <r>
      <rPr>
        <sz val="11"/>
        <rFont val="Noto Sans CJK SC"/>
        <family val="2"/>
      </rPr>
      <t xml:space="preserve">다이 </t>
    </r>
    <r>
      <rPr>
        <sz val="11"/>
        <rFont val="Arial"/>
        <family val="0"/>
        <charset val="1"/>
      </rPr>
      <t xml:space="preserve">(4*6)</t>
    </r>
  </si>
  <si>
    <t xml:space="preserve">2026-08-05 16:43:33</t>
  </si>
  <si>
    <t xml:space="preserve">혁진테크다이</t>
  </si>
  <si>
    <t xml:space="preserve">2026-08-05 16:43:32</t>
  </si>
  <si>
    <t xml:space="preserve">강진밴드미니샤</t>
  </si>
  <si>
    <t xml:space="preserve">2026-08-05 16:43:31</t>
  </si>
  <si>
    <t xml:space="preserve">현대전기타이</t>
  </si>
  <si>
    <t xml:space="preserve">미강운송비</t>
  </si>
  <si>
    <t xml:space="preserve">2026-08-05 16:43:30</t>
  </si>
  <si>
    <t xml:space="preserve">원석가공비</t>
  </si>
  <si>
    <t xml:space="preserve">2026-08-05 16:43:29</t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</si>
  <si>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월식대</t>
    </r>
  </si>
  <si>
    <t xml:space="preserve">2026-08-05 09:55:18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</si>
  <si>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대광기업</t>
    </r>
  </si>
  <si>
    <t xml:space="preserve">2026-08-05 04:30:59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</si>
  <si>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08052</t>
    </r>
  </si>
  <si>
    <t xml:space="preserve">2026-07-31 16:35:48</t>
  </si>
  <si>
    <t xml:space="preserve">2026-07-31 16:29:56</t>
  </si>
  <si>
    <r>
      <rPr>
        <sz val="11"/>
        <rFont val="Noto Sans CJK SC"/>
        <family val="2"/>
      </rPr>
      <t xml:space="preserve">김삼득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삼정에스앤</t>
    </r>
    <r>
      <rPr>
        <sz val="11"/>
        <rFont val="Arial"/>
        <family val="0"/>
        <charset val="1"/>
      </rPr>
      <t xml:space="preserve">)</t>
    </r>
  </si>
  <si>
    <t xml:space="preserve">2026-07-31 15:45:20</t>
  </si>
  <si>
    <t xml:space="preserve">2026-07-31 14:05:36</t>
  </si>
  <si>
    <r>
      <rPr>
        <sz val="11"/>
        <rFont val="Noto Sans CJK SC"/>
        <family val="2"/>
      </rPr>
      <t xml:space="preserve">마크휴가비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</si>
  <si>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r>
      <rPr>
        <sz val="11"/>
        <color theme="1"/>
        <rFont val="Noto Sans CJK SC"/>
        <family val="2"/>
      </rPr>
      <t xml:space="preserve">복리후생비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휴가비</t>
    </r>
  </si>
  <si>
    <t xml:space="preserve">2026-07-31 14:05:35</t>
  </si>
  <si>
    <r>
      <rPr>
        <sz val="11"/>
        <rFont val="Noto Sans CJK SC"/>
        <family val="2"/>
      </rPr>
      <t xml:space="preserve">멜벤휴가비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</si>
  <si>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14:01:19</t>
  </si>
  <si>
    <r>
      <rPr>
        <sz val="11"/>
        <rFont val="Noto Sans CJK SC"/>
        <family val="2"/>
      </rPr>
      <t xml:space="preserve">나드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</si>
  <si>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14:01:18</t>
  </si>
  <si>
    <r>
      <rPr>
        <sz val="11"/>
        <rFont val="Noto Sans CJK SC"/>
        <family val="2"/>
      </rPr>
      <t xml:space="preserve">아스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</si>
  <si>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14:01:17</t>
  </si>
  <si>
    <r>
      <rPr>
        <sz val="11"/>
        <rFont val="Noto Sans CJK SC"/>
        <family val="2"/>
      </rPr>
      <t xml:space="preserve">키어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</si>
  <si>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14:01:16</t>
  </si>
  <si>
    <r>
      <rPr>
        <sz val="11"/>
        <rFont val="Noto Sans CJK SC"/>
        <family val="2"/>
      </rPr>
      <t xml:space="preserve">이원춘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</si>
  <si>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14:01:15</t>
  </si>
  <si>
    <r>
      <rPr>
        <sz val="11"/>
        <rFont val="Noto Sans CJK SC"/>
        <family val="2"/>
      </rPr>
      <t xml:space="preserve">김영철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</si>
  <si>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14:01:14</t>
  </si>
  <si>
    <r>
      <rPr>
        <sz val="11"/>
        <rFont val="Noto Sans CJK SC"/>
        <family val="2"/>
      </rPr>
      <t xml:space="preserve">이정설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</si>
  <si>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r>
      <rPr>
        <sz val="11"/>
        <rFont val="Noto Sans CJK SC"/>
        <family val="2"/>
      </rPr>
      <t xml:space="preserve">정연희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</si>
  <si>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14:01:13</t>
  </si>
  <si>
    <r>
      <rPr>
        <sz val="11"/>
        <rFont val="Noto Sans CJK SC"/>
        <family val="2"/>
      </rPr>
      <t xml:space="preserve">정대균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</si>
  <si>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14:01:12</t>
  </si>
  <si>
    <r>
      <rPr>
        <sz val="11"/>
        <rFont val="Noto Sans CJK SC"/>
        <family val="2"/>
      </rPr>
      <t xml:space="preserve">남은우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</si>
  <si>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r>
      <rPr>
        <sz val="11"/>
        <rFont val="Noto Sans CJK SC"/>
        <family val="2"/>
      </rPr>
      <t xml:space="preserve">전부영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하기휴가비</t>
    </r>
    <r>
      <rPr>
        <sz val="11"/>
        <rFont val="Arial"/>
        <family val="0"/>
        <charset val="1"/>
      </rPr>
      <t xml:space="preserve">))</t>
    </r>
  </si>
  <si>
    <t xml:space="preserve">2026-07-31 13:35:26</t>
  </si>
  <si>
    <t xml:space="preserve">2026-07-31 13:27:42</t>
  </si>
  <si>
    <t xml:space="preserve">2026-07-31 11:57:20</t>
  </si>
  <si>
    <t xml:space="preserve">에버스틸주식회사</t>
  </si>
  <si>
    <t xml:space="preserve">2026-07-31 11:29:33</t>
  </si>
  <si>
    <t xml:space="preserve">2026-07-31 10:37:39</t>
  </si>
  <si>
    <t xml:space="preserve">2026-07-30 09:09:33</t>
  </si>
  <si>
    <t xml:space="preserve">2026-07-28 14:10:22</t>
  </si>
  <si>
    <t xml:space="preserve">2026-07-28 12:14:15</t>
  </si>
  <si>
    <t xml:space="preserve">2026-07-27 05:19:00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</si>
  <si>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176</t>
    </r>
  </si>
  <si>
    <t xml:space="preserve">2026-07-27 04:58:33</t>
  </si>
  <si>
    <t xml:space="preserve">2026-07-27 04:57:16</t>
  </si>
  <si>
    <t xml:space="preserve">KT5392716507</t>
  </si>
  <si>
    <t xml:space="preserve">2026-07-27 04:52:33</t>
  </si>
  <si>
    <t xml:space="preserve">KT0432211107</t>
  </si>
  <si>
    <t xml:space="preserve">2026-07-27 04:52:32</t>
  </si>
  <si>
    <t xml:space="preserve">KT0434510507</t>
  </si>
  <si>
    <t xml:space="preserve">2026-07-23 04:27:28</t>
  </si>
  <si>
    <t xml:space="preserve">2026-07-22 14:09:05</t>
  </si>
  <si>
    <t xml:space="preserve">부가가치세</t>
  </si>
  <si>
    <r>
      <rPr>
        <sz val="11"/>
        <color theme="1"/>
        <rFont val="Noto Sans CJK SC"/>
        <family val="2"/>
      </rPr>
      <t xml:space="preserve">세금과공과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부가가치세</t>
    </r>
  </si>
  <si>
    <t xml:space="preserve">2026-07-22 14:07:39</t>
  </si>
  <si>
    <t xml:space="preserve">인천광재산세</t>
  </si>
  <si>
    <t xml:space="preserve">2026-07-21 13:27:34</t>
  </si>
  <si>
    <t xml:space="preserve">훈련비고용부</t>
  </si>
  <si>
    <r>
      <rPr>
        <sz val="11"/>
        <color theme="1"/>
        <rFont val="Noto Sans CJK SC"/>
        <family val="2"/>
      </rPr>
      <t xml:space="preserve">잡수익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정부지원금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고용부</t>
    </r>
    <r>
      <rPr>
        <sz val="11"/>
        <color theme="1"/>
        <rFont val="Calibri"/>
        <family val="2"/>
        <charset val="1"/>
      </rPr>
      <t xml:space="preserve">)</t>
    </r>
  </si>
  <si>
    <t xml:space="preserve">2026-07-21 12:06:08</t>
  </si>
  <si>
    <t xml:space="preserve">안산시재산세</t>
  </si>
  <si>
    <t xml:space="preserve">2026-07-20 17:18:37</t>
  </si>
  <si>
    <r>
      <rPr>
        <sz val="11"/>
        <rFont val="Noto Sans CJK SC"/>
        <family val="2"/>
      </rPr>
      <t xml:space="preserve">대홍엔지니어링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언코일러선금</t>
    </r>
    <r>
      <rPr>
        <sz val="11"/>
        <rFont val="Arial"/>
        <family val="0"/>
        <charset val="1"/>
      </rPr>
      <t xml:space="preserve">))</t>
    </r>
  </si>
  <si>
    <t xml:space="preserve">2026-07-20 04:48:52</t>
  </si>
  <si>
    <t xml:space="preserve">13SAMSUN961128</t>
  </si>
  <si>
    <t xml:space="preserve">13SAMSUN981024</t>
  </si>
  <si>
    <t xml:space="preserve">2026-07-20 04:48:51</t>
  </si>
  <si>
    <t xml:space="preserve">16SAMSUN960916</t>
  </si>
  <si>
    <t xml:space="preserve">16SAMSUN990514</t>
  </si>
  <si>
    <t xml:space="preserve">23SAMSUN880224</t>
  </si>
  <si>
    <t xml:space="preserve">2026-07-15 13:34:43</t>
  </si>
  <si>
    <t xml:space="preserve">2026-07-15 10:01:25</t>
  </si>
  <si>
    <t xml:space="preserve">2026-07-15 09:41:25</t>
  </si>
  <si>
    <t xml:space="preserve">2026-07-13 10:39:38</t>
  </si>
  <si>
    <t xml:space="preserve">2026-07-13 04:50:49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</si>
  <si>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07244</t>
    </r>
  </si>
  <si>
    <t xml:space="preserve">2026-07-13 04:50:48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</si>
  <si>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07044</t>
    </r>
  </si>
  <si>
    <t xml:space="preserve">2026-07-10 13:23:42</t>
  </si>
  <si>
    <t xml:space="preserve">단원구청</t>
  </si>
  <si>
    <t xml:space="preserve">2026-07-10 13:23:40</t>
  </si>
  <si>
    <t xml:space="preserve">근로소득세</t>
  </si>
  <si>
    <t xml:space="preserve">급여</t>
  </si>
  <si>
    <t xml:space="preserve">2026-07-10 13:23:39</t>
  </si>
  <si>
    <t xml:space="preserve">2026-07-10 13:06:22</t>
  </si>
  <si>
    <t xml:space="preserve">급여아스</t>
  </si>
  <si>
    <t xml:space="preserve">2026-07-10 13:06:21</t>
  </si>
  <si>
    <t xml:space="preserve">급여키어</t>
  </si>
  <si>
    <t xml:space="preserve">2026-07-10 13:06:20</t>
  </si>
  <si>
    <t xml:space="preserve">2026-07-10 13:06:19</t>
  </si>
  <si>
    <t xml:space="preserve">2026-07-10 13:06:18</t>
  </si>
  <si>
    <t xml:space="preserve">2026-07-10 13:06:17</t>
  </si>
  <si>
    <t xml:space="preserve">2026-07-10 13:06:16</t>
  </si>
  <si>
    <t xml:space="preserve">2026-07-10 13:06:15</t>
  </si>
  <si>
    <t xml:space="preserve">2026-07-10 11:14:16</t>
  </si>
  <si>
    <t xml:space="preserve">2026-07-10 11:14:15</t>
  </si>
  <si>
    <t xml:space="preserve">2026-07-10 10:10:36</t>
  </si>
  <si>
    <t xml:space="preserve">2026-07-10 07:37:23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</si>
  <si>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07-161</t>
    </r>
  </si>
  <si>
    <t xml:space="preserve">2026-07-06 17:11:36</t>
  </si>
  <si>
    <t xml:space="preserve">서울내장주식회사</t>
  </si>
  <si>
    <t xml:space="preserve">2026-07-06 11:07:11</t>
  </si>
  <si>
    <r>
      <rPr>
        <sz val="11"/>
        <rFont val="Noto Sans CJK SC"/>
        <family val="2"/>
      </rPr>
      <t xml:space="preserve">금성호이스트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점검외수리</t>
    </r>
    <r>
      <rPr>
        <sz val="11"/>
        <rFont val="Arial"/>
        <family val="0"/>
        <charset val="1"/>
      </rPr>
      <t xml:space="preserve">))</t>
    </r>
  </si>
  <si>
    <r>
      <rPr>
        <sz val="11"/>
        <rFont val="Noto Sans CJK SC"/>
        <family val="2"/>
      </rPr>
      <t xml:space="preserve">이양수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리코일러수리</t>
    </r>
    <r>
      <rPr>
        <sz val="11"/>
        <rFont val="Arial"/>
        <family val="0"/>
        <charset val="1"/>
      </rPr>
      <t xml:space="preserve">))</t>
    </r>
  </si>
  <si>
    <t xml:space="preserve">2026-07-06 04:44:27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</si>
  <si>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07051</t>
    </r>
  </si>
  <si>
    <t xml:space="preserve">2026-06-30 17:46:53</t>
  </si>
  <si>
    <t xml:space="preserve">2026-06-30 17:11:03</t>
  </si>
  <si>
    <t xml:space="preserve">2026-06-30 16:01:23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</si>
  <si>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픽터</t>
    </r>
  </si>
  <si>
    <t xml:space="preserve">2026-06-30 15:19:48</t>
  </si>
  <si>
    <t xml:space="preserve">2026-06-30 14:38:57</t>
  </si>
  <si>
    <t xml:space="preserve">2026-06-30 13:39:55</t>
  </si>
  <si>
    <t xml:space="preserve">2026-06-30 12:09:03</t>
  </si>
  <si>
    <r>
      <rPr>
        <sz val="11"/>
        <rFont val="Noto Sans CJK SC"/>
        <family val="2"/>
      </rPr>
      <t xml:space="preserve">반월</t>
    </r>
    <r>
      <rPr>
        <sz val="11"/>
        <rFont val="Arial"/>
        <family val="0"/>
        <charset val="1"/>
      </rPr>
      <t xml:space="preserve">.</t>
    </r>
    <r>
      <rPr>
        <sz val="11"/>
        <rFont val="Noto Sans CJK SC"/>
        <family val="2"/>
      </rPr>
      <t xml:space="preserve">시화국가산업단</t>
    </r>
  </si>
  <si>
    <t xml:space="preserve">2026-06-30 12:05:43</t>
  </si>
  <si>
    <r>
      <rPr>
        <sz val="11"/>
        <rFont val="Noto Sans CJK SC"/>
        <family val="2"/>
      </rPr>
      <t xml:space="preserve">박승종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지게차엔진오일</t>
    </r>
    <r>
      <rPr>
        <sz val="11"/>
        <rFont val="Arial"/>
        <family val="0"/>
        <charset val="1"/>
      </rPr>
      <t xml:space="preserve">))</t>
    </r>
  </si>
  <si>
    <t xml:space="preserve">2026-06-30 12:05:42</t>
  </si>
  <si>
    <r>
      <rPr>
        <sz val="11"/>
        <rFont val="Noto Sans CJK SC"/>
        <family val="2"/>
      </rPr>
      <t xml:space="preserve">이원춘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유대</t>
    </r>
    <r>
      <rPr>
        <sz val="11"/>
        <rFont val="Arial"/>
        <family val="0"/>
        <charset val="1"/>
      </rPr>
      <t xml:space="preserve">))</t>
    </r>
  </si>
  <si>
    <t xml:space="preserve">2026-06-30 12:05:41</t>
  </si>
  <si>
    <r>
      <rPr>
        <sz val="11"/>
        <rFont val="Noto Sans CJK SC"/>
        <family val="2"/>
      </rPr>
      <t xml:space="preserve">타이어월드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지게차타잉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))</t>
    </r>
  </si>
  <si>
    <t xml:space="preserve">2026-06-30 12:05:40</t>
  </si>
  <si>
    <r>
      <rPr>
        <sz val="11"/>
        <rFont val="Noto Sans CJK SC"/>
        <family val="2"/>
      </rPr>
      <t xml:space="preserve">강철규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페이퍼문화</t>
    </r>
    <r>
      <rPr>
        <sz val="11"/>
        <rFont val="Arial"/>
        <family val="0"/>
        <charset val="1"/>
      </rPr>
      <t xml:space="preserve">))</t>
    </r>
  </si>
  <si>
    <t xml:space="preserve">2026-06-30 12:05:39</t>
  </si>
  <si>
    <r>
      <rPr>
        <sz val="11"/>
        <rFont val="Noto Sans CJK SC"/>
        <family val="2"/>
      </rPr>
      <t xml:space="preserve">미강철강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대산가공비</t>
    </r>
    <r>
      <rPr>
        <sz val="11"/>
        <rFont val="Arial"/>
        <family val="0"/>
        <charset val="1"/>
      </rPr>
      <t xml:space="preserve">))</t>
    </r>
  </si>
  <si>
    <t xml:space="preserve">2026-06-30 12:05:38</t>
  </si>
  <si>
    <r>
      <rPr>
        <sz val="11"/>
        <rFont val="Noto Sans CJK SC"/>
        <family val="2"/>
      </rPr>
      <t xml:space="preserve">최윤애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원프드</t>
    </r>
    <r>
      <rPr>
        <sz val="11"/>
        <rFont val="Arial"/>
        <family val="0"/>
        <charset val="1"/>
      </rPr>
      <t xml:space="preserve">))</t>
    </r>
  </si>
  <si>
    <t xml:space="preserve">2026-06-30 12:05:37</t>
  </si>
  <si>
    <r>
      <rPr>
        <sz val="11"/>
        <rFont val="Noto Sans CJK SC"/>
        <family val="2"/>
      </rPr>
      <t xml:space="preserve">고창배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지게차튜뷰</t>
    </r>
    <r>
      <rPr>
        <sz val="11"/>
        <rFont val="Arial"/>
        <family val="0"/>
        <charset val="1"/>
      </rPr>
      <t xml:space="preserve">))</t>
    </r>
  </si>
  <si>
    <t xml:space="preserve">2026-06-30 12:05:36</t>
  </si>
  <si>
    <r>
      <rPr>
        <sz val="11"/>
        <rFont val="Noto Sans CJK SC"/>
        <family val="2"/>
      </rPr>
      <t xml:space="preserve">자동차세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이원춘</t>
    </r>
    <r>
      <rPr>
        <sz val="11"/>
        <rFont val="Arial"/>
        <family val="0"/>
        <charset val="1"/>
      </rPr>
      <t xml:space="preserve">))</t>
    </r>
  </si>
  <si>
    <t xml:space="preserve">2026-06-30 12:05:34</t>
  </si>
  <si>
    <r>
      <rPr>
        <sz val="11"/>
        <rFont val="Noto Sans CJK SC"/>
        <family val="2"/>
      </rPr>
      <t xml:space="preserve">자동차세 </t>
    </r>
    <r>
      <rPr>
        <sz val="11"/>
        <rFont val="Arial"/>
        <family val="0"/>
        <charset val="1"/>
      </rPr>
      <t xml:space="preserve">((3553))</t>
    </r>
  </si>
  <si>
    <t xml:space="preserve">2026-06-30 10:59:32</t>
  </si>
  <si>
    <t xml:space="preserve">2026-06-30 09:56:57</t>
  </si>
  <si>
    <t xml:space="preserve">선우스틸 이명우</t>
  </si>
  <si>
    <t xml:space="preserve">2026-06-30 09:55:20</t>
  </si>
  <si>
    <t xml:space="preserve">2026-06-29 10:11:28</t>
  </si>
  <si>
    <t xml:space="preserve">2026-06-29 04:33:26</t>
  </si>
  <si>
    <t xml:space="preserve">KT5392716506</t>
  </si>
  <si>
    <t xml:space="preserve">2026-06-25 05:02:20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</si>
  <si>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175</t>
    </r>
  </si>
  <si>
    <t xml:space="preserve">2026-06-25 04:45:34</t>
  </si>
  <si>
    <t xml:space="preserve">2026-06-25 04:40:04</t>
  </si>
  <si>
    <t xml:space="preserve">KT0432211106</t>
  </si>
  <si>
    <t xml:space="preserve">2026-06-25 04:40:03</t>
  </si>
  <si>
    <t xml:space="preserve">KT0434510506</t>
  </si>
  <si>
    <t xml:space="preserve">2026-06-24 15:22:10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</si>
  <si>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사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대한산업안전협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안전검사료</t>
    </r>
    <r>
      <rPr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</si>
  <si>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지급수수료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안전관리</t>
    </r>
  </si>
  <si>
    <t xml:space="preserve">2026-06-24 11:12:53</t>
  </si>
  <si>
    <t xml:space="preserve">주식회사홍간판</t>
  </si>
  <si>
    <t xml:space="preserve">2026-06-24 10:59:58</t>
  </si>
  <si>
    <t xml:space="preserve">2026-06-23 12:25:49</t>
  </si>
  <si>
    <t xml:space="preserve">2026-06-23 04:27:37</t>
  </si>
  <si>
    <t xml:space="preserve">2026-06-22 14:18:26</t>
  </si>
  <si>
    <r>
      <rPr>
        <sz val="11"/>
        <rFont val="Noto Sans CJK SC"/>
        <family val="2"/>
      </rPr>
      <t xml:space="preserve">미강철강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</si>
  <si>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2026-06-22 05:07:06</t>
  </si>
  <si>
    <t xml:space="preserve">12SAMSUN961128</t>
  </si>
  <si>
    <t xml:space="preserve">2026-06-22 05:07:05</t>
  </si>
  <si>
    <t xml:space="preserve">12SAMSUN981024</t>
  </si>
  <si>
    <t xml:space="preserve">15SAMSUN960916</t>
  </si>
  <si>
    <t xml:space="preserve">15SAMSUN990514</t>
  </si>
  <si>
    <t xml:space="preserve">22SAMSUN880224</t>
  </si>
  <si>
    <t xml:space="preserve">2026-06-20 04:52:01</t>
  </si>
  <si>
    <t xml:space="preserve">예금이자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</si>
  <si>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예금이자 </t>
    </r>
    <r>
      <rPr>
        <sz val="11"/>
        <rFont val="Arial"/>
        <family val="0"/>
        <charset val="1"/>
      </rPr>
      <t xml:space="preserve">11,884 </t>
    </r>
    <r>
      <rPr>
        <sz val="11"/>
        <rFont val="Noto Sans CJK SC"/>
        <family val="2"/>
      </rPr>
      <t xml:space="preserve">소득세 </t>
    </r>
    <r>
      <rPr>
        <sz val="11"/>
        <rFont val="Arial"/>
        <family val="0"/>
        <charset val="1"/>
      </rPr>
      <t xml:space="preserve">1,660 </t>
    </r>
    <r>
      <rPr>
        <sz val="11"/>
        <rFont val="Noto Sans CJK SC"/>
        <family val="2"/>
      </rPr>
      <t xml:space="preserve">지방소득세 </t>
    </r>
    <r>
      <rPr>
        <sz val="11"/>
        <rFont val="Arial"/>
        <family val="0"/>
        <charset val="1"/>
      </rPr>
      <t xml:space="preserve">160)</t>
    </r>
  </si>
  <si>
    <r>
      <rPr>
        <sz val="11"/>
        <color theme="1"/>
        <rFont val="Noto Sans CJK SC"/>
        <family val="2"/>
      </rPr>
      <t xml:space="preserve">잡수익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이자수익</t>
    </r>
  </si>
  <si>
    <t xml:space="preserve">2026-06-19 13:49:10</t>
  </si>
  <si>
    <t xml:space="preserve">주식회사 대성우드라</t>
  </si>
  <si>
    <t xml:space="preserve">2026-06-18 16:48:17</t>
  </si>
  <si>
    <t xml:space="preserve">남은우</t>
  </si>
  <si>
    <r>
      <rPr>
        <sz val="11"/>
        <color theme="1"/>
        <rFont val="Noto Sans CJK SC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)-</t>
    </r>
    <r>
      <rPr>
        <sz val="11"/>
        <color theme="1"/>
        <rFont val="Noto Sans CJK SC"/>
        <family val="2"/>
      </rPr>
      <t xml:space="preserve">대표자 관련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용도미상</t>
    </r>
    <r>
      <rPr>
        <sz val="11"/>
        <color theme="1"/>
        <rFont val="Calibri"/>
        <family val="2"/>
        <charset val="1"/>
      </rPr>
      <t xml:space="preserve">)</t>
    </r>
  </si>
  <si>
    <t xml:space="preserve">2026-06-17 11:40:46</t>
  </si>
  <si>
    <t xml:space="preserve">시흥세무서</t>
  </si>
  <si>
    <r>
      <rPr>
        <sz val="11"/>
        <color theme="1"/>
        <rFont val="Noto Sans CJK SC"/>
        <family val="2"/>
      </rPr>
      <t xml:space="preserve">환급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세무서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, P&amp;L </t>
    </r>
    <r>
      <rPr>
        <sz val="11"/>
        <color theme="1"/>
        <rFont val="Noto Sans CJK SC"/>
        <family val="2"/>
      </rPr>
      <t xml:space="preserve">별도표기</t>
    </r>
    <r>
      <rPr>
        <sz val="11"/>
        <color theme="1"/>
        <rFont val="Calibri"/>
        <family val="2"/>
        <charset val="1"/>
      </rPr>
      <t xml:space="preserve">)</t>
    </r>
  </si>
  <si>
    <t xml:space="preserve">2026-06-15 15:23:40</t>
  </si>
  <si>
    <r>
      <rPr>
        <sz val="11"/>
        <rFont val="Noto Sans CJK SC"/>
        <family val="2"/>
      </rPr>
      <t xml:space="preserve">남은우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오성철강사</t>
    </r>
    <r>
      <rPr>
        <sz val="11"/>
        <rFont val="Arial"/>
        <family val="0"/>
        <charset val="1"/>
      </rPr>
      <t xml:space="preserve">) (</t>
    </r>
    <r>
      <rPr>
        <sz val="11"/>
        <rFont val="Noto Sans CJK SC"/>
        <family val="2"/>
      </rPr>
      <t xml:space="preserve">정부사업</t>
    </r>
    <r>
      <rPr>
        <sz val="1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</si>
  <si>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계좌간 자금이체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남은우 경유</t>
    </r>
    <r>
      <rPr>
        <sz val="11"/>
        <color theme="1"/>
        <rFont val="Calibri"/>
        <family val="2"/>
        <charset val="1"/>
      </rPr>
      <t xml:space="preserve">)</t>
    </r>
  </si>
  <si>
    <t xml:space="preserve">2026-06-15 14:06:45</t>
  </si>
  <si>
    <t xml:space="preserve">2026-06-15 12:36:35</t>
  </si>
  <si>
    <t xml:space="preserve">스마트허브사업보증보험료대</t>
  </si>
  <si>
    <t xml:space="preserve">2026-06-15 10:13:34</t>
  </si>
  <si>
    <t xml:space="preserve">2026-06-15 09:45:20</t>
  </si>
  <si>
    <t xml:space="preserve">2026-06-15 05:09:38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</si>
  <si>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06243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</si>
  <si>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06043</t>
    </r>
  </si>
  <si>
    <t xml:space="preserve">2026-06-11 11:35:07</t>
  </si>
  <si>
    <t xml:space="preserve">2026-06-11 11:29:33</t>
  </si>
  <si>
    <t xml:space="preserve">태경스틸</t>
  </si>
  <si>
    <t xml:space="preserve">2026-06-10 13:10:51</t>
  </si>
  <si>
    <t xml:space="preserve">남은우급여</t>
  </si>
  <si>
    <t xml:space="preserve">2026-06-10 13:10:50</t>
  </si>
  <si>
    <t xml:space="preserve">이원춘급여</t>
  </si>
  <si>
    <t xml:space="preserve">2026-06-10 13:10:49</t>
  </si>
  <si>
    <t xml:space="preserve">정연희급여</t>
  </si>
  <si>
    <t xml:space="preserve">정대균급여</t>
  </si>
  <si>
    <t xml:space="preserve">2026-06-10 13:10:47</t>
  </si>
  <si>
    <t xml:space="preserve">전부영급여</t>
  </si>
  <si>
    <t xml:space="preserve">2026-06-10 13:10:46</t>
  </si>
  <si>
    <t xml:space="preserve">이정설급여</t>
  </si>
  <si>
    <t xml:space="preserve">멜벤급여</t>
  </si>
  <si>
    <t xml:space="preserve">2026-06-10 13:10:45</t>
  </si>
  <si>
    <t xml:space="preserve">키어급여</t>
  </si>
  <si>
    <t xml:space="preserve">2026-06-10 13:10:44</t>
  </si>
  <si>
    <t xml:space="preserve">아스급여</t>
  </si>
  <si>
    <t xml:space="preserve">나드급여</t>
  </si>
  <si>
    <t xml:space="preserve">2026-06-10 13:10:43</t>
  </si>
  <si>
    <t xml:space="preserve">마크급여</t>
  </si>
  <si>
    <t xml:space="preserve">2026-06-10 13:10:42</t>
  </si>
  <si>
    <t xml:space="preserve">김영철급여</t>
  </si>
  <si>
    <t xml:space="preserve">2026-06-10 11:12:02</t>
  </si>
  <si>
    <t xml:space="preserve">2026-06-10 11:04:52</t>
  </si>
  <si>
    <r>
      <rPr>
        <sz val="11"/>
        <rFont val="Noto Sans CJK SC"/>
        <family val="2"/>
      </rPr>
      <t xml:space="preserve">홍간판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외부간판중도금</t>
    </r>
    <r>
      <rPr>
        <sz val="11"/>
        <rFont val="Arial"/>
        <family val="0"/>
        <charset val="1"/>
      </rPr>
      <t xml:space="preserve">))</t>
    </r>
  </si>
  <si>
    <t xml:space="preserve">2026-06-10 11:04:51</t>
  </si>
  <si>
    <r>
      <rPr>
        <sz val="11"/>
        <rFont val="Noto Sans CJK SC"/>
        <family val="2"/>
      </rPr>
      <t xml:space="preserve">아세아세무회계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최해원</t>
    </r>
    <r>
      <rPr>
        <sz val="11"/>
        <rFont val="Arial"/>
        <family val="0"/>
        <charset val="1"/>
      </rPr>
      <t xml:space="preserve">))</t>
    </r>
  </si>
  <si>
    <r>
      <rPr>
        <sz val="11"/>
        <color theme="1"/>
        <rFont val="Noto Sans CJK SC"/>
        <family val="2"/>
      </rPr>
      <t xml:space="preserve">지급수수료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세무기장</t>
    </r>
  </si>
  <si>
    <t xml:space="preserve">안산상공회의소</t>
  </si>
  <si>
    <r>
      <rPr>
        <sz val="11"/>
        <color theme="1"/>
        <rFont val="Noto Sans CJK SC"/>
        <family val="2"/>
      </rPr>
      <t xml:space="preserve">지급수수료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기타용역</t>
    </r>
  </si>
  <si>
    <t xml:space="preserve">2026-06-10 10:29:07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</si>
  <si>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유성스틸</t>
    </r>
  </si>
  <si>
    <t xml:space="preserve">2026-06-10 08:37:54</t>
  </si>
  <si>
    <t xml:space="preserve">2026-06-10 07:41:35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</si>
  <si>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06-160</t>
    </r>
  </si>
  <si>
    <t xml:space="preserve">2026-06-05 13:01:42</t>
  </si>
  <si>
    <t xml:space="preserve">2026-06-05 04:30:23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</si>
  <si>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06050</t>
    </r>
  </si>
  <si>
    <t xml:space="preserve">2026-06-04 13:26:44</t>
  </si>
  <si>
    <r>
      <rPr>
        <sz val="11"/>
        <rFont val="Noto Sans CJK SC"/>
        <family val="2"/>
      </rPr>
      <t xml:space="preserve">동양강업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</si>
  <si>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2026-06-02 15:52:58</t>
  </si>
  <si>
    <t xml:space="preserve">2026-06-02 11:03:13</t>
  </si>
  <si>
    <t xml:space="preserve">안산세무서</t>
  </si>
  <si>
    <t xml:space="preserve">2026-06-02 10:48:04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</si>
  <si>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신우철강</t>
    </r>
  </si>
  <si>
    <t xml:space="preserve">2026-06-01 17:11:04</t>
  </si>
  <si>
    <r>
      <rPr>
        <sz val="11"/>
        <rFont val="Noto Sans CJK SC"/>
        <family val="2"/>
      </rPr>
      <t xml:space="preserve">윤영기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파렛트</t>
    </r>
    <r>
      <rPr>
        <sz val="11"/>
        <rFont val="Arial"/>
        <family val="0"/>
        <charset val="1"/>
      </rPr>
      <t xml:space="preserve">))</t>
    </r>
  </si>
  <si>
    <t xml:space="preserve">2026-06-01 17:11:02</t>
  </si>
  <si>
    <r>
      <rPr>
        <sz val="11"/>
        <rFont val="Noto Sans CJK SC"/>
        <family val="2"/>
      </rPr>
      <t xml:space="preserve">미강철강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가공비</t>
    </r>
    <r>
      <rPr>
        <sz val="11"/>
        <rFont val="Arial"/>
        <family val="0"/>
        <charset val="1"/>
      </rPr>
      <t xml:space="preserve">))</t>
    </r>
  </si>
  <si>
    <t xml:space="preserve">2026-06-01 17:11:01</t>
  </si>
  <si>
    <r>
      <rPr>
        <sz val="11"/>
        <rFont val="Noto Sans CJK SC"/>
        <family val="2"/>
      </rPr>
      <t xml:space="preserve">대산공업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미주 작업</t>
    </r>
    <r>
      <rPr>
        <sz val="11"/>
        <rFont val="Arial"/>
        <family val="0"/>
        <charset val="1"/>
      </rPr>
      <t xml:space="preserve">))</t>
    </r>
  </si>
  <si>
    <r>
      <rPr>
        <sz val="11"/>
        <rFont val="Noto Sans CJK SC"/>
        <family val="2"/>
      </rPr>
      <t xml:space="preserve">타행송금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한국씨티은행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</si>
  <si>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최윤호지벤상사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안전화작업복</t>
    </r>
    <r>
      <rPr>
        <sz val="11"/>
        <rFont val="Arial"/>
        <family val="0"/>
        <charset val="1"/>
      </rPr>
      <t xml:space="preserve">))</t>
    </r>
  </si>
  <si>
    <t xml:space="preserve">2026-06-01 17:11:00</t>
  </si>
  <si>
    <r>
      <rPr>
        <sz val="11"/>
        <rFont val="Noto Sans CJK SC"/>
        <family val="2"/>
      </rPr>
      <t xml:space="preserve">선영김선준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웅반비</t>
    </r>
    <r>
      <rPr>
        <sz val="11"/>
        <rFont val="Arial"/>
        <family val="0"/>
        <charset val="1"/>
      </rPr>
      <t xml:space="preserve">))</t>
    </r>
  </si>
  <si>
    <t xml:space="preserve">2026-06-01 17:10:59</t>
  </si>
  <si>
    <r>
      <rPr>
        <sz val="11"/>
        <rFont val="Noto Sans CJK SC"/>
        <family val="2"/>
      </rPr>
      <t xml:space="preserve">고영상사고창배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지게차펑크</t>
    </r>
    <r>
      <rPr>
        <sz val="11"/>
        <rFont val="Arial"/>
        <family val="0"/>
        <charset val="1"/>
      </rPr>
      <t xml:space="preserve">))</t>
    </r>
  </si>
  <si>
    <t xml:space="preserve">2026-06-01 17:10:58</t>
  </si>
  <si>
    <r>
      <rPr>
        <sz val="11"/>
        <rFont val="Noto Sans CJK SC"/>
        <family val="2"/>
      </rPr>
      <t xml:space="preserve">승원철강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밴딩분코일</t>
    </r>
    <r>
      <rPr>
        <sz val="11"/>
        <rFont val="Arial"/>
        <family val="0"/>
        <charset val="1"/>
      </rPr>
      <t xml:space="preserve">))</t>
    </r>
  </si>
  <si>
    <t xml:space="preserve">2026-06-01 17:10:57</t>
  </si>
  <si>
    <r>
      <rPr>
        <sz val="11"/>
        <rFont val="Noto Sans CJK SC"/>
        <family val="2"/>
      </rPr>
      <t xml:space="preserve">아이제이테크김일우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슬리터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호보수</t>
    </r>
    <r>
      <rPr>
        <sz val="11"/>
        <rFont val="Arial"/>
        <family val="0"/>
        <charset val="1"/>
      </rPr>
      <t xml:space="preserve">))</t>
    </r>
  </si>
  <si>
    <t xml:space="preserve">2026-06-01 17:10:56</t>
  </si>
  <si>
    <r>
      <rPr>
        <sz val="11"/>
        <rFont val="Noto Sans CJK SC"/>
        <family val="2"/>
      </rPr>
      <t xml:space="preserve">원프드최윤애 </t>
    </r>
    <r>
      <rPr>
        <sz val="11"/>
        <rFont val="Arial"/>
        <family val="0"/>
        <charset val="1"/>
      </rPr>
      <t xml:space="preserve">((4</t>
    </r>
    <r>
      <rPr>
        <sz val="11"/>
        <rFont val="Noto Sans CJK SC"/>
        <family val="2"/>
      </rPr>
      <t xml:space="preserve">월분</t>
    </r>
    <r>
      <rPr>
        <sz val="11"/>
        <rFont val="Arial"/>
        <family val="0"/>
        <charset val="1"/>
      </rPr>
      <t xml:space="preserve">166</t>
    </r>
    <r>
      <rPr>
        <sz val="11"/>
        <rFont val="Noto Sans CJK SC"/>
        <family val="2"/>
      </rPr>
      <t xml:space="preserve">인</t>
    </r>
    <r>
      <rPr>
        <sz val="11"/>
        <rFont val="Arial"/>
        <family val="0"/>
        <charset val="1"/>
      </rPr>
      <t xml:space="preserve">))</t>
    </r>
  </si>
  <si>
    <t xml:space="preserve">2026-06-01 16:21:28</t>
  </si>
  <si>
    <t xml:space="preserve">시흥시지방소</t>
  </si>
  <si>
    <t xml:space="preserve">2026-05-29 16:13:44</t>
  </si>
  <si>
    <t xml:space="preserve">2026-05-29 14:31:06</t>
  </si>
  <si>
    <t xml:space="preserve">2026-05-29 14:27:18</t>
  </si>
  <si>
    <t xml:space="preserve">2026-05-29 13:55:40</t>
  </si>
  <si>
    <t xml:space="preserve">이원춘퇴직금정리</t>
  </si>
  <si>
    <t xml:space="preserve">2026-05-29 11:27:15</t>
  </si>
  <si>
    <t xml:space="preserve">2026-05-29 10:29:59</t>
  </si>
  <si>
    <t xml:space="preserve">2026-05-29 10:11:22</t>
  </si>
  <si>
    <t xml:space="preserve">2026-05-27 04:29:33</t>
  </si>
  <si>
    <t xml:space="preserve">KT5392716505</t>
  </si>
  <si>
    <t xml:space="preserve">2026-05-26 13:17:18</t>
  </si>
  <si>
    <t xml:space="preserve">2026-05-26 05:32:09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</si>
  <si>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174</t>
    </r>
  </si>
  <si>
    <t xml:space="preserve">2026-05-26 05:06:53</t>
  </si>
  <si>
    <t xml:space="preserve">2026-05-26 05:01:24</t>
  </si>
  <si>
    <t xml:space="preserve">KT0432211105</t>
  </si>
  <si>
    <t xml:space="preserve">2026-05-26 05:01:22</t>
  </si>
  <si>
    <t xml:space="preserve">KT0434510505</t>
  </si>
  <si>
    <t xml:space="preserve">2026-05-26 04:57:16</t>
  </si>
  <si>
    <t xml:space="preserve">2026-05-20 04:38:29</t>
  </si>
  <si>
    <t xml:space="preserve">11SAMSUN961128</t>
  </si>
  <si>
    <t xml:space="preserve">11SAMSUN981024</t>
  </si>
  <si>
    <t xml:space="preserve">14SAMSUN960916</t>
  </si>
  <si>
    <t xml:space="preserve">14SAMSUN990514</t>
  </si>
  <si>
    <t xml:space="preserve">2026-05-20 04:38:28</t>
  </si>
  <si>
    <t xml:space="preserve">21SAMSUN880224</t>
  </si>
  <si>
    <t xml:space="preserve">2026-05-19 16:41:53</t>
  </si>
  <si>
    <r>
      <rPr>
        <sz val="11"/>
        <rFont val="Noto Sans CJK SC"/>
        <family val="2"/>
      </rPr>
      <t xml:space="preserve">박창대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대창랙스</t>
    </r>
    <r>
      <rPr>
        <sz val="11"/>
        <rFont val="Arial"/>
        <family val="0"/>
        <charset val="1"/>
      </rPr>
      <t xml:space="preserve">)</t>
    </r>
  </si>
  <si>
    <t xml:space="preserve">2026-05-18 14:25:27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</si>
  <si>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동남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스핀들나사가공</t>
    </r>
    <r>
      <rPr>
        <sz val="11"/>
        <rFont val="Arial"/>
        <family val="0"/>
        <charset val="1"/>
      </rPr>
      <t xml:space="preserve">))</t>
    </r>
  </si>
  <si>
    <r>
      <rPr>
        <sz val="11"/>
        <rFont val="Noto Sans CJK SC"/>
        <family val="2"/>
      </rPr>
      <t xml:space="preserve">베이스캠프씨엔엠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라벤지</t>
    </r>
    <r>
      <rPr>
        <sz val="11"/>
        <rFont val="Arial"/>
        <family val="0"/>
        <charset val="1"/>
      </rPr>
      <t xml:space="preserve">))</t>
    </r>
  </si>
  <si>
    <t xml:space="preserve">2026-05-15 15:27:32</t>
  </si>
  <si>
    <t xml:space="preserve">2026-05-15 10:54:20</t>
  </si>
  <si>
    <t xml:space="preserve">2026-05-15 10:53:40</t>
  </si>
  <si>
    <t xml:space="preserve">2026-05-13 04:43:40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</si>
  <si>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05242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</si>
  <si>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05042</t>
    </r>
  </si>
  <si>
    <t xml:space="preserve">2026-05-11 16:54:10</t>
  </si>
  <si>
    <t xml:space="preserve">2026-05-11 16:44:53</t>
  </si>
  <si>
    <t xml:space="preserve">2026-05-11 15:26:03</t>
  </si>
  <si>
    <t xml:space="preserve">2026-05-11 14:37:25</t>
  </si>
  <si>
    <r>
      <rPr>
        <sz val="11"/>
        <rFont val="Noto Sans CJK SC"/>
        <family val="2"/>
      </rPr>
      <t xml:space="preserve">급여 </t>
    </r>
    <r>
      <rPr>
        <sz val="11"/>
        <rFont val="Arial"/>
        <family val="0"/>
        <charset val="1"/>
      </rPr>
      <t xml:space="preserve">((</t>
    </r>
    <r>
      <rPr>
        <sz val="11"/>
        <rFont val="Noto Sans CJK SC"/>
        <family val="2"/>
      </rPr>
      <t xml:space="preserve">나드급여</t>
    </r>
    <r>
      <rPr>
        <sz val="11"/>
        <rFont val="Arial"/>
        <family val="0"/>
        <charset val="1"/>
      </rPr>
      <t xml:space="preserve">))</t>
    </r>
  </si>
  <si>
    <t xml:space="preserve">2026-05-11 14:34:19</t>
  </si>
  <si>
    <t xml:space="preserve">2026-05-11 14:34:18</t>
  </si>
  <si>
    <t xml:space="preserve">2026-05-11 14:34:17</t>
  </si>
  <si>
    <t xml:space="preserve">2026-05-11 14:34:16</t>
  </si>
  <si>
    <t xml:space="preserve">2026-05-11 14:34:15</t>
  </si>
  <si>
    <t xml:space="preserve">2026-05-11 14:34:14</t>
  </si>
  <si>
    <t xml:space="preserve">2026-05-11 14:34:13</t>
  </si>
  <si>
    <t xml:space="preserve">2026-05-11 14:34:12</t>
  </si>
  <si>
    <t xml:space="preserve">2026-05-11 11:45:52</t>
  </si>
  <si>
    <t xml:space="preserve">2026-05-11 11:11:50</t>
  </si>
  <si>
    <t xml:space="preserve">2026-05-11 10:40:51</t>
  </si>
  <si>
    <t xml:space="preserve">2026-05-11 07:38:34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</si>
  <si>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05-159</t>
    </r>
  </si>
  <si>
    <t xml:space="preserve">2026-05-07 10:18:01</t>
  </si>
  <si>
    <t xml:space="preserve">2026-05-07 09:51:14</t>
  </si>
  <si>
    <t xml:space="preserve">2026-05-06 04:33:58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</si>
  <si>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05049</t>
    </r>
  </si>
  <si>
    <t xml:space="preserve">2026-04-30 16:22:25</t>
  </si>
  <si>
    <t xml:space="preserve">2026-04-30 15:38:23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</si>
  <si>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대한에스엔</t>
    </r>
  </si>
  <si>
    <t xml:space="preserve">2026-04-30 15:12:35</t>
  </si>
  <si>
    <t xml:space="preserve">2026-04-30 15:12:14</t>
  </si>
  <si>
    <t xml:space="preserve">2026-04-30 14:34:05</t>
  </si>
  <si>
    <t xml:space="preserve">2026-04-30 13:18:57</t>
  </si>
  <si>
    <t xml:space="preserve">2026-04-30 12:35:59</t>
  </si>
  <si>
    <t xml:space="preserve">2026-04-30 09:12:14</t>
  </si>
  <si>
    <t xml:space="preserve">2026-04-27 15:42:02</t>
  </si>
  <si>
    <t xml:space="preserve">2026-04-27 05:17:45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</si>
  <si>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173</t>
    </r>
  </si>
  <si>
    <t xml:space="preserve">2026-04-27 04:57:53</t>
  </si>
  <si>
    <t xml:space="preserve">2026-04-27 04:56:43</t>
  </si>
  <si>
    <t xml:space="preserve">KT5392716504</t>
  </si>
  <si>
    <t xml:space="preserve">2026-04-27 04:52:08</t>
  </si>
  <si>
    <t xml:space="preserve">KT0432211104</t>
  </si>
  <si>
    <t xml:space="preserve">2026-04-27 04:52:07</t>
  </si>
  <si>
    <t xml:space="preserve">KT0434510504</t>
  </si>
  <si>
    <t xml:space="preserve">2026-04-23 04:55:32</t>
  </si>
  <si>
    <t xml:space="preserve">2026-04-20 04:41:13</t>
  </si>
  <si>
    <t xml:space="preserve">10SAMSUN961128</t>
  </si>
  <si>
    <t xml:space="preserve">10SAMSUN981024</t>
  </si>
  <si>
    <t xml:space="preserve">13SAMSUN960916</t>
  </si>
  <si>
    <t xml:space="preserve">13SAMSUN990514</t>
  </si>
  <si>
    <t xml:space="preserve">2026-04-20 04:41:12</t>
  </si>
  <si>
    <t xml:space="preserve">20SAMSUN880224</t>
  </si>
  <si>
    <t xml:space="preserve">2026-04-16 09:37:50</t>
  </si>
  <si>
    <r>
      <rPr>
        <sz val="11"/>
        <rFont val="Noto Sans CJK SC"/>
        <family val="2"/>
      </rPr>
      <t xml:space="preserve">남은우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오성철강사</t>
    </r>
    <r>
      <rPr>
        <sz val="11"/>
        <rFont val="Arial"/>
        <family val="0"/>
        <charset val="1"/>
      </rPr>
      <t xml:space="preserve">)</t>
    </r>
  </si>
  <si>
    <t xml:space="preserve">2026-04-15 13:34:22</t>
  </si>
  <si>
    <t xml:space="preserve">2026-04-15 13:06:54</t>
  </si>
  <si>
    <t xml:space="preserve">2026-04-15 09:31:11</t>
  </si>
  <si>
    <t xml:space="preserve">2026-04-13 10:37:46</t>
  </si>
  <si>
    <t xml:space="preserve">2026-04-13 04:45:56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</si>
  <si>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04241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</si>
  <si>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04041</t>
    </r>
  </si>
  <si>
    <t xml:space="preserve">2026-04-10 13:29:46</t>
  </si>
  <si>
    <t xml:space="preserve">2026-04-10 12:01:57</t>
  </si>
  <si>
    <t xml:space="preserve">2026-04-10 11:13:40</t>
  </si>
  <si>
    <t xml:space="preserve">2026-04-10 07:40:28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</si>
  <si>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04-158</t>
    </r>
  </si>
  <si>
    <t xml:space="preserve">2026-04-06 04:46:21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</si>
  <si>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04048</t>
    </r>
  </si>
  <si>
    <t xml:space="preserve">2026-04-02 11:01:38</t>
  </si>
  <si>
    <t xml:space="preserve">돌나라강재주식회사</t>
  </si>
  <si>
    <t xml:space="preserve">2026-04-01 10:03:53</t>
  </si>
  <si>
    <t xml:space="preserve">2026-03-31 15:36:14</t>
  </si>
  <si>
    <t xml:space="preserve">지원금고용부</t>
  </si>
  <si>
    <t xml:space="preserve">2026-03-31 15:01:36</t>
  </si>
  <si>
    <t xml:space="preserve">2026-03-31 14:58:29</t>
  </si>
  <si>
    <t xml:space="preserve">2026-03-31 11:54:16</t>
  </si>
  <si>
    <t xml:space="preserve">2026-03-31 10:17:56</t>
  </si>
  <si>
    <t xml:space="preserve">2026-03-31 09:58:15</t>
  </si>
  <si>
    <t xml:space="preserve">2026-03-27 04:25:46</t>
  </si>
  <si>
    <t xml:space="preserve">KT5392716503</t>
  </si>
  <si>
    <t xml:space="preserve">2026-03-25 05:06:34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</si>
  <si>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172</t>
    </r>
  </si>
  <si>
    <t xml:space="preserve">2026-03-25 04:45:26</t>
  </si>
  <si>
    <t xml:space="preserve">2026-03-25 04:41:09</t>
  </si>
  <si>
    <t xml:space="preserve">KT0432211103</t>
  </si>
  <si>
    <t xml:space="preserve">2026-03-25 04:41:08</t>
  </si>
  <si>
    <t xml:space="preserve">KT0434510503</t>
  </si>
  <si>
    <t xml:space="preserve">2026-03-23 04:42:46</t>
  </si>
  <si>
    <t xml:space="preserve">2026-03-21 04:53:21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</si>
  <si>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예금이자 </t>
    </r>
    <r>
      <rPr>
        <sz val="11"/>
        <rFont val="Arial"/>
        <family val="0"/>
        <charset val="1"/>
      </rPr>
      <t xml:space="preserve">8,390 </t>
    </r>
    <r>
      <rPr>
        <sz val="11"/>
        <rFont val="Noto Sans CJK SC"/>
        <family val="2"/>
      </rPr>
      <t xml:space="preserve">소득세 </t>
    </r>
    <r>
      <rPr>
        <sz val="11"/>
        <rFont val="Arial"/>
        <family val="0"/>
        <charset val="1"/>
      </rPr>
      <t xml:space="preserve">1,170 </t>
    </r>
    <r>
      <rPr>
        <sz val="11"/>
        <rFont val="Noto Sans CJK SC"/>
        <family val="2"/>
      </rPr>
      <t xml:space="preserve">지방소득세 </t>
    </r>
    <r>
      <rPr>
        <sz val="11"/>
        <rFont val="Arial"/>
        <family val="0"/>
        <charset val="1"/>
      </rPr>
      <t xml:space="preserve">110)</t>
    </r>
  </si>
  <si>
    <t xml:space="preserve">2026-03-20 04:34:03</t>
  </si>
  <si>
    <t xml:space="preserve">09SAMSUN961128</t>
  </si>
  <si>
    <t xml:space="preserve">09SAMSUN981024</t>
  </si>
  <si>
    <t xml:space="preserve">12SAMSUN960916</t>
  </si>
  <si>
    <t xml:space="preserve">2026-03-20 04:34:02</t>
  </si>
  <si>
    <t xml:space="preserve">12SAMSUN990514</t>
  </si>
  <si>
    <t xml:space="preserve">19SAMSUN880224</t>
  </si>
  <si>
    <t xml:space="preserve">2026-03-18 08:43:20</t>
  </si>
  <si>
    <t xml:space="preserve">2026-03-17 09:42:23</t>
  </si>
  <si>
    <t xml:space="preserve">2026-03-16 13:55:17</t>
  </si>
  <si>
    <t xml:space="preserve">2026-03-13 09:29:48</t>
  </si>
  <si>
    <t xml:space="preserve">2026-03-13 04:40:29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</si>
  <si>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03240</t>
    </r>
  </si>
  <si>
    <t xml:space="preserve">2026-03-13 04:40:28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</si>
  <si>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03040</t>
    </r>
  </si>
  <si>
    <t xml:space="preserve">2026-03-11 13:20:03</t>
  </si>
  <si>
    <t xml:space="preserve">2026-03-11 11:15:43</t>
  </si>
  <si>
    <t xml:space="preserve">2026-03-10 13:04:02</t>
  </si>
  <si>
    <t xml:space="preserve">인증서</t>
  </si>
  <si>
    <t xml:space="preserve">발급수수료납부</t>
  </si>
  <si>
    <t xml:space="preserve">2026-03-10 11:13:39</t>
  </si>
  <si>
    <t xml:space="preserve">2026-03-10 08:36:39</t>
  </si>
  <si>
    <t xml:space="preserve">2026-03-10 07:40:42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</si>
  <si>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03-157</t>
    </r>
  </si>
  <si>
    <t xml:space="preserve">2026-03-05 04:31:30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</si>
  <si>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03047</t>
    </r>
  </si>
  <si>
    <t xml:space="preserve">2026-03-04 10:56:04</t>
  </si>
  <si>
    <t xml:space="preserve">2026-02-27 15:39:51</t>
  </si>
  <si>
    <t xml:space="preserve">2026-02-27 14:42:51</t>
  </si>
  <si>
    <t xml:space="preserve">2026-02-27 13:38:41</t>
  </si>
  <si>
    <t xml:space="preserve">2026-02-27 12:49:55</t>
  </si>
  <si>
    <t xml:space="preserve">2026-02-27 10:36:26</t>
  </si>
  <si>
    <t xml:space="preserve">2026-02-27 04:30:07</t>
  </si>
  <si>
    <t xml:space="preserve">KT5392716502</t>
  </si>
  <si>
    <t xml:space="preserve">2026-02-25 10:59:26</t>
  </si>
  <si>
    <t xml:space="preserve">2026-02-25 05:05:40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</si>
  <si>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171</t>
    </r>
  </si>
  <si>
    <t xml:space="preserve">2026-02-25 04:46:50</t>
  </si>
  <si>
    <t xml:space="preserve">2026-02-25 04:42:39</t>
  </si>
  <si>
    <t xml:space="preserve">KT0432211102</t>
  </si>
  <si>
    <t xml:space="preserve">2026-02-25 04:42:38</t>
  </si>
  <si>
    <t xml:space="preserve">KT0434510502</t>
  </si>
  <si>
    <t xml:space="preserve">2026-02-24 13:56:46</t>
  </si>
  <si>
    <t xml:space="preserve">주식회사포스</t>
  </si>
  <si>
    <t xml:space="preserve">2026-02-24 13:56:44</t>
  </si>
  <si>
    <t xml:space="preserve">2026-02-23 04:43:01</t>
  </si>
  <si>
    <t xml:space="preserve">2026-02-20 04:36:41</t>
  </si>
  <si>
    <t xml:space="preserve">08SAMSUN961128</t>
  </si>
  <si>
    <t xml:space="preserve">08SAMSUN981024</t>
  </si>
  <si>
    <t xml:space="preserve">11SAMSUN960916</t>
  </si>
  <si>
    <t xml:space="preserve">2026-02-20 04:36:40</t>
  </si>
  <si>
    <t xml:space="preserve">11SAMSUN990514</t>
  </si>
  <si>
    <t xml:space="preserve">18SAMSUN880224</t>
  </si>
  <si>
    <t xml:space="preserve">2026-02-13 10:04:52</t>
  </si>
  <si>
    <t xml:space="preserve">2026-02-13 09:49:04</t>
  </si>
  <si>
    <t xml:space="preserve">2026-02-13 04:42:01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</si>
  <si>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02239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</si>
  <si>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02039</t>
    </r>
  </si>
  <si>
    <t xml:space="preserve">2026-02-12 13:20:20</t>
  </si>
  <si>
    <t xml:space="preserve">2026-02-11 16:13:36</t>
  </si>
  <si>
    <t xml:space="preserve">2026-02-10 16:09:42</t>
  </si>
  <si>
    <t xml:space="preserve">2026-02-10 14:30:50</t>
  </si>
  <si>
    <t xml:space="preserve">2026-02-10 11:15:38</t>
  </si>
  <si>
    <t xml:space="preserve">2026-02-10 11:15:37</t>
  </si>
  <si>
    <t xml:space="preserve">2026-02-10 11:09:28</t>
  </si>
  <si>
    <t xml:space="preserve">2026-02-10 07:40:46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</si>
  <si>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02-156</t>
    </r>
  </si>
  <si>
    <t xml:space="preserve">2026-02-09 11:21:22</t>
  </si>
  <si>
    <t xml:space="preserve">2026-02-05 10:52:41</t>
  </si>
  <si>
    <t xml:space="preserve">2026-02-05 04:31:58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</si>
  <si>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02046</t>
    </r>
  </si>
  <si>
    <t xml:space="preserve">2026-02-03 15:11:40</t>
  </si>
  <si>
    <t xml:space="preserve">2026-01-30 15:51:33</t>
  </si>
  <si>
    <t xml:space="preserve">2026-01-30 10:56:31</t>
  </si>
  <si>
    <t xml:space="preserve">2026-01-30 10:27:39</t>
  </si>
  <si>
    <t xml:space="preserve">2026-01-29 09:43:15</t>
  </si>
  <si>
    <t xml:space="preserve">2026-01-27 13:27:43</t>
  </si>
  <si>
    <t xml:space="preserve">2026-01-27 04:25:56</t>
  </si>
  <si>
    <t xml:space="preserve">KT5392716501</t>
  </si>
  <si>
    <t xml:space="preserve">2026-01-26 05:19:44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</si>
  <si>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170</t>
    </r>
  </si>
  <si>
    <t xml:space="preserve">2026-01-26 04:58:04</t>
  </si>
  <si>
    <t xml:space="preserve">2026-01-26 04:51:55</t>
  </si>
  <si>
    <t xml:space="preserve">KT0432211101</t>
  </si>
  <si>
    <t xml:space="preserve">2026-01-26 04:51:54</t>
  </si>
  <si>
    <t xml:space="preserve">KT0434510501</t>
  </si>
  <si>
    <t xml:space="preserve">2026-01-23 04:28:37</t>
  </si>
  <si>
    <t xml:space="preserve">2026-01-20 04:33:35</t>
  </si>
  <si>
    <t xml:space="preserve">07SAMSUN961128</t>
  </si>
  <si>
    <t xml:space="preserve">07SAMSUN981024</t>
  </si>
  <si>
    <t xml:space="preserve">2026-01-20 04:33:34</t>
  </si>
  <si>
    <t xml:space="preserve">10SAMSUN960916</t>
  </si>
  <si>
    <t xml:space="preserve">10SAMSUN990514</t>
  </si>
  <si>
    <t xml:space="preserve">17SAMSUN880224</t>
  </si>
  <si>
    <t xml:space="preserve">2026-01-16 12:43:15</t>
  </si>
  <si>
    <t xml:space="preserve">2026-01-15 13:26:18</t>
  </si>
  <si>
    <t xml:space="preserve">2026-01-15 09:41:26</t>
  </si>
  <si>
    <t xml:space="preserve">2026-01-13 04:43:15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</si>
  <si>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01238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</si>
  <si>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01038</t>
    </r>
  </si>
  <si>
    <t xml:space="preserve">2026-01-12 17:05:26</t>
  </si>
  <si>
    <t xml:space="preserve">2026-01-12 13:33:52</t>
  </si>
  <si>
    <t xml:space="preserve">2026-01-12 11:15:40</t>
  </si>
  <si>
    <t xml:space="preserve">2026-01-12 11:15:39</t>
  </si>
  <si>
    <t xml:space="preserve">2026-01-12 07:42:34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</si>
  <si>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01-155</t>
    </r>
  </si>
  <si>
    <t xml:space="preserve">2026-01-09 13:05:54</t>
  </si>
  <si>
    <t xml:space="preserve">2026-01-09 10:47:27</t>
  </si>
  <si>
    <t xml:space="preserve">2026-01-06 09:31:12</t>
  </si>
  <si>
    <t xml:space="preserve">2026-01-05 16:09:21</t>
  </si>
  <si>
    <t xml:space="preserve">이경호</t>
  </si>
  <si>
    <t xml:space="preserve">2026-01-05 09:51:56</t>
  </si>
  <si>
    <t xml:space="preserve">2026-01-05 04:46:07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</si>
  <si>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01045</t>
    </r>
  </si>
  <si>
    <t xml:space="preserve">2026-01-02 16:06:53</t>
  </si>
  <si>
    <r>
      <rPr>
        <sz val="11"/>
        <rFont val="Noto Sans CJK SC"/>
        <family val="2"/>
      </rPr>
      <t xml:space="preserve">건설강재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</si>
  <si>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2025-12-31 16:59:41</t>
  </si>
  <si>
    <t xml:space="preserve">2025-12-31 15:05:48</t>
  </si>
  <si>
    <t xml:space="preserve">2025-12-31 13:44:21</t>
  </si>
  <si>
    <t xml:space="preserve">2025-12-31 10:27:03</t>
  </si>
  <si>
    <t xml:space="preserve">2025-12-29 04:35:57</t>
  </si>
  <si>
    <t xml:space="preserve">KT5392716512</t>
  </si>
  <si>
    <t xml:space="preserve">2025-12-26 05:12:51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</si>
  <si>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169</t>
    </r>
  </si>
  <si>
    <t xml:space="preserve">2025-12-26 04:52:58</t>
  </si>
  <si>
    <t xml:space="preserve">2025-12-26 04:45:25</t>
  </si>
  <si>
    <t xml:space="preserve">KT0432211112</t>
  </si>
  <si>
    <t xml:space="preserve">2025-12-26 04:45:23</t>
  </si>
  <si>
    <t xml:space="preserve">KT0434510512</t>
  </si>
  <si>
    <t xml:space="preserve">2025-12-23 14:37:12</t>
  </si>
  <si>
    <t xml:space="preserve">2025-12-23 04:26:24</t>
  </si>
  <si>
    <t xml:space="preserve">2025-12-22 05:10:20</t>
  </si>
  <si>
    <t xml:space="preserve">06SAMSUN961128</t>
  </si>
  <si>
    <t xml:space="preserve">2025-12-22 05:10:19</t>
  </si>
  <si>
    <t xml:space="preserve">06SAMSUN981024</t>
  </si>
  <si>
    <t xml:space="preserve">09SAMSUN960916</t>
  </si>
  <si>
    <t xml:space="preserve">09SAMSUN990514</t>
  </si>
  <si>
    <t xml:space="preserve">16SAMSUN880224</t>
  </si>
  <si>
    <t xml:space="preserve">2025-12-20 05:15:17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</si>
  <si>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예금이자 </t>
    </r>
    <r>
      <rPr>
        <sz val="11"/>
        <rFont val="Arial"/>
        <family val="0"/>
        <charset val="1"/>
      </rPr>
      <t xml:space="preserve">5,997 </t>
    </r>
    <r>
      <rPr>
        <sz val="11"/>
        <rFont val="Noto Sans CJK SC"/>
        <family val="2"/>
      </rPr>
      <t xml:space="preserve">소득세 </t>
    </r>
    <r>
      <rPr>
        <sz val="11"/>
        <rFont val="Arial"/>
        <family val="0"/>
        <charset val="1"/>
      </rPr>
      <t xml:space="preserve">830 </t>
    </r>
    <r>
      <rPr>
        <sz val="11"/>
        <rFont val="Noto Sans CJK SC"/>
        <family val="2"/>
      </rPr>
      <t xml:space="preserve">지방소득세 </t>
    </r>
    <r>
      <rPr>
        <sz val="11"/>
        <rFont val="Arial"/>
        <family val="0"/>
        <charset val="1"/>
      </rPr>
      <t xml:space="preserve">80)</t>
    </r>
  </si>
  <si>
    <t xml:space="preserve">2025-12-17 12:21:36</t>
  </si>
  <si>
    <t xml:space="preserve">2025-12-16 10:07:38</t>
  </si>
  <si>
    <t xml:space="preserve">2025-12-15 16:43:02</t>
  </si>
  <si>
    <t xml:space="preserve">2025-12-15 15:05:34</t>
  </si>
  <si>
    <t xml:space="preserve">2025-12-15 09:55:17</t>
  </si>
  <si>
    <t xml:space="preserve">2025-12-15 05:15:24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</si>
  <si>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12237</t>
    </r>
  </si>
  <si>
    <t xml:space="preserve">2025-12-15 05:15:23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</si>
  <si>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12037</t>
    </r>
  </si>
  <si>
    <t xml:space="preserve">2025-12-10 14:03:17</t>
  </si>
  <si>
    <t xml:space="preserve">2025-12-10 11:12:45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</si>
  <si>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1</t>
    </r>
  </si>
  <si>
    <t xml:space="preserve">코웨이</t>
  </si>
  <si>
    <t xml:space="preserve">2025-12-10 08:37:41</t>
  </si>
  <si>
    <t xml:space="preserve">2025-12-10 07:40:39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</si>
  <si>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12-154</t>
    </r>
  </si>
  <si>
    <t xml:space="preserve">2025-12-09 10:01:24</t>
  </si>
  <si>
    <t xml:space="preserve">2025-12-05 04:30:32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</si>
  <si>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12044</t>
    </r>
  </si>
  <si>
    <t xml:space="preserve">2025-12-02 13:09:37</t>
  </si>
  <si>
    <t xml:space="preserve">2025-12-01 15:53:56</t>
  </si>
  <si>
    <t xml:space="preserve">2025-12-01 14:57:15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</si>
  <si>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명진철판</t>
    </r>
  </si>
  <si>
    <t xml:space="preserve">2025-12-01 13:53:53</t>
  </si>
  <si>
    <t xml:space="preserve">2025-12-01 13:53:52</t>
  </si>
  <si>
    <t xml:space="preserve">2025-11-28 15:59:26</t>
  </si>
  <si>
    <t xml:space="preserve">2025-11-28 11:20:54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</si>
  <si>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신성강건</t>
    </r>
  </si>
  <si>
    <t xml:space="preserve">2025-11-28 11:13:05</t>
  </si>
  <si>
    <t xml:space="preserve">2025-11-27 04:24:26</t>
  </si>
  <si>
    <t xml:space="preserve">KT5392716511</t>
  </si>
  <si>
    <t xml:space="preserve">2025-11-25 14:58:32</t>
  </si>
  <si>
    <t xml:space="preserve">2025-11-25 05:03:41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</si>
  <si>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168</t>
    </r>
  </si>
  <si>
    <t xml:space="preserve">2025-11-25 04:46:50</t>
  </si>
  <si>
    <t xml:space="preserve">2025-11-25 04:41:38</t>
  </si>
  <si>
    <t xml:space="preserve">KT0432211111</t>
  </si>
  <si>
    <t xml:space="preserve">2025-11-25 04:41:37</t>
  </si>
  <si>
    <t xml:space="preserve">KT0434510511</t>
  </si>
  <si>
    <t xml:space="preserve">2025-11-24 04:36:09</t>
  </si>
  <si>
    <t xml:space="preserve">2025-11-20 04:31:48</t>
  </si>
  <si>
    <t xml:space="preserve">05SAMSUN961128</t>
  </si>
  <si>
    <t xml:space="preserve">2025-11-20 04:31:47</t>
  </si>
  <si>
    <t xml:space="preserve">05SAMSUN981024</t>
  </si>
  <si>
    <t xml:space="preserve">08SAMSUN960916</t>
  </si>
  <si>
    <t xml:space="preserve">08SAMSUN990514</t>
  </si>
  <si>
    <t xml:space="preserve">2025-11-20 04:31:46</t>
  </si>
  <si>
    <t xml:space="preserve">15SAMSUN880224</t>
  </si>
  <si>
    <t xml:space="preserve">2025-11-17 13:01:09</t>
  </si>
  <si>
    <t xml:space="preserve">2025-11-14 09:32:00</t>
  </si>
  <si>
    <t xml:space="preserve">2025-11-13 04:37:25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</si>
  <si>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11236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</si>
  <si>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11036</t>
    </r>
  </si>
  <si>
    <t xml:space="preserve">2025-11-12 09:16:15</t>
  </si>
  <si>
    <t xml:space="preserve">2025-11-11 15:08:35</t>
  </si>
  <si>
    <t xml:space="preserve">2025-11-10 14:38:18</t>
  </si>
  <si>
    <t xml:space="preserve">2025-11-10 14:08:02</t>
  </si>
  <si>
    <t xml:space="preserve">2025-11-10 12:10:27</t>
  </si>
  <si>
    <t xml:space="preserve">2025-11-10 11:11:30</t>
  </si>
  <si>
    <t xml:space="preserve">2025-11-10 07:40:34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</si>
  <si>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11-153</t>
    </r>
  </si>
  <si>
    <t xml:space="preserve">2025-11-05 07:17:09</t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</si>
  <si>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수신료</t>
    </r>
  </si>
  <si>
    <r>
      <rPr>
        <sz val="11"/>
        <color theme="1"/>
        <rFont val="Noto Sans CJK SC"/>
        <family val="2"/>
      </rPr>
      <t xml:space="preserve">세금과공과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방송수신료</t>
    </r>
  </si>
  <si>
    <t xml:space="preserve">2025-11-05 04:32:19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</si>
  <si>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11043</t>
    </r>
  </si>
  <si>
    <t xml:space="preserve">2025-11-04 16:28:03</t>
  </si>
  <si>
    <t xml:space="preserve">2025-11-03 16:13:28</t>
  </si>
  <si>
    <t xml:space="preserve">2025-11-03 12:59:46</t>
  </si>
  <si>
    <t xml:space="preserve">2025-11-03 12:56:19</t>
  </si>
  <si>
    <t xml:space="preserve">2025-11-03 11:25:04</t>
  </si>
  <si>
    <t xml:space="preserve">2025-10-31 16:28:43</t>
  </si>
  <si>
    <t xml:space="preserve">2025-10-31 10:51:31</t>
  </si>
  <si>
    <t xml:space="preserve">2025-10-31 09:52:20</t>
  </si>
  <si>
    <t xml:space="preserve">2025-10-31 09:48:07</t>
  </si>
  <si>
    <t xml:space="preserve">2025-10-31 09:28:30</t>
  </si>
  <si>
    <t xml:space="preserve">2025-10-27 14:35:27</t>
  </si>
  <si>
    <t xml:space="preserve">2025-10-27 05:22:27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</si>
  <si>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167</t>
    </r>
  </si>
  <si>
    <t xml:space="preserve">2025-10-27 05:03:30</t>
  </si>
  <si>
    <t xml:space="preserve">2025-10-27 05:02:13</t>
  </si>
  <si>
    <t xml:space="preserve">KT5392716510</t>
  </si>
  <si>
    <t xml:space="preserve">2025-10-27 04:56:24</t>
  </si>
  <si>
    <t xml:space="preserve">KT0432211110</t>
  </si>
  <si>
    <t xml:space="preserve">2025-10-27 04:56:22</t>
  </si>
  <si>
    <t xml:space="preserve">KT0434510510</t>
  </si>
  <si>
    <t xml:space="preserve">2025-10-23 11:21:10</t>
  </si>
  <si>
    <t xml:space="preserve">2025-10-23 04:25:04</t>
  </si>
  <si>
    <t xml:space="preserve">2025-10-20 04:43:15</t>
  </si>
  <si>
    <t xml:space="preserve">04SAMSUN961128</t>
  </si>
  <si>
    <t xml:space="preserve">04SAMSUN981024</t>
  </si>
  <si>
    <t xml:space="preserve">07SAMSUN960916</t>
  </si>
  <si>
    <t xml:space="preserve">07SAMSUN990514</t>
  </si>
  <si>
    <t xml:space="preserve">2025-10-20 04:43:14</t>
  </si>
  <si>
    <t xml:space="preserve">14SAMSUN880224</t>
  </si>
  <si>
    <t xml:space="preserve">2025-10-15 16:24:12</t>
  </si>
  <si>
    <t xml:space="preserve">2025-10-15 15:16:33</t>
  </si>
  <si>
    <r>
      <rPr>
        <sz val="11"/>
        <rFont val="Noto Sans CJK SC"/>
        <family val="2"/>
      </rPr>
      <t xml:space="preserve">서울보증</t>
    </r>
    <r>
      <rPr>
        <sz val="11"/>
        <rFont val="Arial"/>
        <family val="0"/>
        <charset val="1"/>
      </rPr>
      <t xml:space="preserve">115</t>
    </r>
  </si>
  <si>
    <t xml:space="preserve">2025-10-15 14:21:22</t>
  </si>
  <si>
    <t xml:space="preserve">2025-10-15 14:12:41</t>
  </si>
  <si>
    <t xml:space="preserve">2025-10-15 09:24:51</t>
  </si>
  <si>
    <t xml:space="preserve">2025-10-13 09:13:21</t>
  </si>
  <si>
    <t xml:space="preserve">2025-10-13 04:55:36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</si>
  <si>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10235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</si>
  <si>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10035</t>
    </r>
  </si>
  <si>
    <t xml:space="preserve">2025-10-10 11:11:53</t>
  </si>
  <si>
    <t xml:space="preserve">2025-10-10 11:11:52</t>
  </si>
  <si>
    <t xml:space="preserve">2025-10-10 09:13:19</t>
  </si>
  <si>
    <t xml:space="preserve">2025-10-10 07:39:26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</si>
  <si>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10-152</t>
    </r>
  </si>
  <si>
    <t xml:space="preserve">2025-10-10 07:24:26</t>
  </si>
  <si>
    <r>
      <rPr>
        <sz val="11"/>
        <rFont val="Arial"/>
        <family val="0"/>
        <charset val="1"/>
      </rPr>
      <t xml:space="preserve">09</t>
    </r>
    <r>
      <rPr>
        <sz val="11"/>
        <rFont val="Noto Sans CJK SC"/>
        <family val="2"/>
      </rPr>
      <t xml:space="preserve">수신료</t>
    </r>
  </si>
  <si>
    <t xml:space="preserve">2025-10-10 05:15:43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</si>
  <si>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10042</t>
    </r>
  </si>
  <si>
    <t xml:space="preserve">2025-10-02 15:01:51</t>
  </si>
  <si>
    <t xml:space="preserve">2025-10-01 15:44:36</t>
  </si>
  <si>
    <t xml:space="preserve">2025-10-01 10:03:08</t>
  </si>
  <si>
    <t xml:space="preserve">2025-09-30 17:10:51</t>
  </si>
  <si>
    <t xml:space="preserve">2025-09-30 16:32:47</t>
  </si>
  <si>
    <t xml:space="preserve">인천광지방세</t>
  </si>
  <si>
    <t xml:space="preserve">안산시지방세</t>
  </si>
  <si>
    <t xml:space="preserve">2025-09-30 10:32:17</t>
  </si>
  <si>
    <t xml:space="preserve">2025-09-30 09:50:35</t>
  </si>
  <si>
    <r>
      <rPr>
        <sz val="11"/>
        <rFont val="Noto Sans CJK SC"/>
        <family val="2"/>
      </rPr>
      <t xml:space="preserve">제일에스티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</si>
  <si>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2025-09-30 09:39:47</t>
  </si>
  <si>
    <t xml:space="preserve">2025-09-30 09:35:07</t>
  </si>
  <si>
    <t xml:space="preserve">2025-09-30 09:26:04</t>
  </si>
  <si>
    <t xml:space="preserve">2025-09-29 17:28:18</t>
  </si>
  <si>
    <t xml:space="preserve">2025-09-29 04:32:38</t>
  </si>
  <si>
    <t xml:space="preserve">KT5392716509</t>
  </si>
  <si>
    <t xml:space="preserve">2025-09-25 17:51:39</t>
  </si>
  <si>
    <t xml:space="preserve">2025-09-25 04:58:56</t>
  </si>
  <si>
    <r>
      <rPr>
        <sz val="11"/>
        <rFont val="Noto Sans CJK SC"/>
        <family val="2"/>
      </rPr>
      <t xml:space="preserve">노란</t>
    </r>
    <r>
      <rPr>
        <sz val="11"/>
        <rFont val="Arial"/>
        <family val="0"/>
        <charset val="1"/>
      </rPr>
      <t xml:space="preserve">166</t>
    </r>
  </si>
  <si>
    <t xml:space="preserve">2025-09-25 04:42:36</t>
  </si>
  <si>
    <t xml:space="preserve">2025-09-25 04:37:34</t>
  </si>
  <si>
    <t xml:space="preserve">KT0432211109</t>
  </si>
  <si>
    <t xml:space="preserve">2025-09-25 04:37:33</t>
  </si>
  <si>
    <t xml:space="preserve">KT0434510509</t>
  </si>
  <si>
    <t xml:space="preserve">2025-09-23 04:24:45</t>
  </si>
  <si>
    <t xml:space="preserve">2025-09-22 15:28:21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</si>
  <si>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디비에스브릿지</t>
    </r>
  </si>
  <si>
    <t xml:space="preserve">2025-09-22 05:12:35</t>
  </si>
  <si>
    <t xml:space="preserve">03SAMSUN961128</t>
  </si>
  <si>
    <t xml:space="preserve">03SAMSUN981024</t>
  </si>
  <si>
    <t xml:space="preserve">06SAMSUN960916</t>
  </si>
  <si>
    <t xml:space="preserve">06SAMSUN990514</t>
  </si>
  <si>
    <t xml:space="preserve">2025-09-22 05:12:34</t>
  </si>
  <si>
    <t xml:space="preserve">13SAMSUN880224</t>
  </si>
  <si>
    <t xml:space="preserve">2025-09-20 04:46:10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</si>
  <si>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예금이자 </t>
    </r>
    <r>
      <rPr>
        <sz val="11"/>
        <rFont val="Arial"/>
        <family val="0"/>
        <charset val="1"/>
      </rPr>
      <t xml:space="preserve">12,117 </t>
    </r>
    <r>
      <rPr>
        <sz val="11"/>
        <rFont val="Noto Sans CJK SC"/>
        <family val="2"/>
      </rPr>
      <t xml:space="preserve">소득세 </t>
    </r>
    <r>
      <rPr>
        <sz val="11"/>
        <rFont val="Arial"/>
        <family val="0"/>
        <charset val="1"/>
      </rPr>
      <t xml:space="preserve">1,690 </t>
    </r>
    <r>
      <rPr>
        <sz val="11"/>
        <rFont val="Noto Sans CJK SC"/>
        <family val="2"/>
      </rPr>
      <t xml:space="preserve">지방소득세 </t>
    </r>
    <r>
      <rPr>
        <sz val="11"/>
        <rFont val="Arial"/>
        <family val="0"/>
        <charset val="1"/>
      </rPr>
      <t xml:space="preserve">160)</t>
    </r>
  </si>
  <si>
    <t xml:space="preserve">2025-09-16 17:13:32</t>
  </si>
  <si>
    <t xml:space="preserve">퇴직연금수수료</t>
  </si>
  <si>
    <t xml:space="preserve">2025-09-15 14:58:18</t>
  </si>
  <si>
    <t xml:space="preserve">2025-09-15 11:44:48</t>
  </si>
  <si>
    <t xml:space="preserve">2025-09-15 09:36:56</t>
  </si>
  <si>
    <t xml:space="preserve">2025-09-15 05:05:24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</si>
  <si>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09234</t>
    </r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</si>
  <si>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09034</t>
    </r>
  </si>
  <si>
    <t xml:space="preserve">2025-09-11 09:55:55</t>
  </si>
  <si>
    <r>
      <rPr>
        <sz val="11"/>
        <rFont val="Noto Sans CJK SC"/>
        <family val="2"/>
      </rPr>
      <t xml:space="preserve">원신철강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</si>
  <si>
    <t xml:space="preserve">2025-09-10 11:32:15</t>
  </si>
  <si>
    <t xml:space="preserve">신박스틸 주식회사</t>
  </si>
  <si>
    <t xml:space="preserve">2025-09-10 11:13:39</t>
  </si>
  <si>
    <t xml:space="preserve">2025-09-10 10:34:14</t>
  </si>
  <si>
    <t xml:space="preserve">2025-09-10 07:39:40</t>
  </si>
  <si>
    <r>
      <rPr>
        <sz val="11"/>
        <rFont val="Noto Sans CJK SC"/>
        <family val="2"/>
      </rPr>
      <t xml:space="preserve">동양</t>
    </r>
    <r>
      <rPr>
        <sz val="11"/>
        <rFont val="Arial"/>
        <family val="0"/>
        <charset val="1"/>
      </rPr>
      <t xml:space="preserve">09-151</t>
    </r>
  </si>
  <si>
    <t xml:space="preserve">2025-09-05 07:16:48</t>
  </si>
  <si>
    <r>
      <rPr>
        <sz val="11"/>
        <rFont val="Arial"/>
        <family val="0"/>
        <charset val="1"/>
      </rPr>
      <t xml:space="preserve">08</t>
    </r>
    <r>
      <rPr>
        <sz val="11"/>
        <rFont val="Noto Sans CJK SC"/>
        <family val="2"/>
      </rPr>
      <t xml:space="preserve">수신료</t>
    </r>
  </si>
  <si>
    <t xml:space="preserve">2025-09-05 04:28:01</t>
  </si>
  <si>
    <r>
      <rPr>
        <sz val="11"/>
        <rFont val="Noto Sans CJK SC"/>
        <family val="2"/>
      </rPr>
      <t xml:space="preserve">삼성화</t>
    </r>
    <r>
      <rPr>
        <sz val="11"/>
        <rFont val="Arial"/>
        <family val="0"/>
        <charset val="1"/>
      </rPr>
      <t xml:space="preserve">09041</t>
    </r>
  </si>
  <si>
    <t xml:space="preserve">2025-09-03 14:49:47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</si>
  <si>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제이에이치스틸</t>
    </r>
  </si>
  <si>
    <t xml:space="preserve">2025-09-02 10:12:59</t>
  </si>
  <si>
    <t xml:space="preserve">건설강재</t>
  </si>
  <si>
    <t xml:space="preserve">우리은행</t>
  </si>
  <si>
    <t xml:space="preserve">2026.08.31 16:44</t>
  </si>
  <si>
    <t xml:space="preserve">지로자동</t>
  </si>
  <si>
    <r>
      <rPr>
        <sz val="11"/>
        <rFont val="Arial"/>
        <family val="0"/>
        <charset val="1"/>
      </rPr>
      <t xml:space="preserve">202608</t>
    </r>
    <r>
      <rPr>
        <sz val="11"/>
        <rFont val="Noto Sans CJK SC"/>
        <family val="2"/>
      </rPr>
      <t xml:space="preserve">수도</t>
    </r>
  </si>
  <si>
    <r>
      <rPr>
        <sz val="11"/>
        <color theme="1"/>
        <rFont val="Noto Sans CJK SC"/>
        <family val="2"/>
      </rPr>
      <t xml:space="preserve">수도광열비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수도</t>
    </r>
  </si>
  <si>
    <t xml:space="preserve">2026.08.31 08:07</t>
  </si>
  <si>
    <t xml:space="preserve">타행자동</t>
  </si>
  <si>
    <r>
      <rPr>
        <sz val="11"/>
        <rFont val="Noto Sans CJK SC"/>
        <family val="2"/>
      </rPr>
      <t xml:space="preserve">신한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한만규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아이디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</si>
  <si>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-(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현대전기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</si>
  <si>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한국산업안전관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</si>
  <si>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농협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주식회사한성소</t>
    </r>
    <r>
      <rPr>
        <sz val="11"/>
        <rFont val="Arial"/>
        <family val="0"/>
        <charset val="1"/>
      </rPr>
      <t xml:space="preserve">?</t>
    </r>
  </si>
  <si>
    <t xml:space="preserve">2026.08.27 16:33</t>
  </si>
  <si>
    <t xml:space="preserve">대출이자</t>
  </si>
  <si>
    <t xml:space="preserve">1220600859803</t>
  </si>
  <si>
    <t xml:space="preserve">1240200208076(2)</t>
  </si>
  <si>
    <t xml:space="preserve">1240200208076(3)</t>
  </si>
  <si>
    <t xml:space="preserve">1240200208076(1)</t>
  </si>
  <si>
    <t xml:space="preserve">1220000871061</t>
  </si>
  <si>
    <t xml:space="preserve">2026.08.20 17:33</t>
  </si>
  <si>
    <t xml:space="preserve">ＣＭＳ</t>
  </si>
  <si>
    <t xml:space="preserve">이카운트월수수료</t>
  </si>
  <si>
    <t xml:space="preserve">2026.08.19 17:22</t>
  </si>
  <si>
    <t xml:space="preserve">인터넷</t>
  </si>
  <si>
    <t xml:space="preserve">1005203-</t>
  </si>
  <si>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계좌간 자금이체</t>
    </r>
  </si>
  <si>
    <t xml:space="preserve">2026.08.18 16:52</t>
  </si>
  <si>
    <r>
      <rPr>
        <sz val="11"/>
        <rFont val="Arial"/>
        <family val="0"/>
        <charset val="1"/>
      </rPr>
      <t xml:space="preserve">F/B </t>
    </r>
    <r>
      <rPr>
        <sz val="11"/>
        <rFont val="Noto Sans CJK SC"/>
        <family val="2"/>
      </rPr>
      <t xml:space="preserve">출금</t>
    </r>
  </si>
  <si>
    <t xml:space="preserve">현대카드</t>
  </si>
  <si>
    <t xml:space="preserve">2026.08.18 16:47</t>
  </si>
  <si>
    <t xml:space="preserve">01053927165SKT</t>
  </si>
  <si>
    <t xml:space="preserve">2026.08.10 16:54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</si>
  <si>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08</t>
    </r>
  </si>
  <si>
    <t xml:space="preserve">2026.08.10 16:44</t>
  </si>
  <si>
    <t xml:space="preserve">건강보험</t>
  </si>
  <si>
    <r>
      <rPr>
        <sz val="11"/>
        <rFont val="Arial"/>
        <family val="0"/>
        <charset val="1"/>
      </rPr>
      <t xml:space="preserve">2607</t>
    </r>
    <r>
      <rPr>
        <sz val="11"/>
        <rFont val="Noto Sans CJK SC"/>
        <family val="2"/>
      </rPr>
      <t xml:space="preserve">국민연금</t>
    </r>
  </si>
  <si>
    <r>
      <rPr>
        <sz val="11"/>
        <color theme="1"/>
        <rFont val="Noto Sans CJK SC"/>
        <family val="2"/>
      </rPr>
      <t xml:space="preserve">인건비</t>
    </r>
    <r>
      <rPr>
        <sz val="11"/>
        <color theme="1"/>
        <rFont val="Calibri"/>
        <family val="2"/>
        <charset val="1"/>
      </rPr>
      <t xml:space="preserve">-4</t>
    </r>
    <r>
      <rPr>
        <sz val="11"/>
        <color theme="1"/>
        <rFont val="Noto Sans CJK SC"/>
        <family val="2"/>
      </rPr>
      <t xml:space="preserve">대보험</t>
    </r>
  </si>
  <si>
    <r>
      <rPr>
        <sz val="11"/>
        <rFont val="Arial"/>
        <family val="0"/>
        <charset val="1"/>
      </rPr>
      <t xml:space="preserve">2607</t>
    </r>
    <r>
      <rPr>
        <sz val="11"/>
        <rFont val="Noto Sans CJK SC"/>
        <family val="2"/>
      </rPr>
      <t xml:space="preserve">고용보험</t>
    </r>
  </si>
  <si>
    <t xml:space="preserve">2026.08.10 16:43</t>
  </si>
  <si>
    <r>
      <rPr>
        <sz val="11"/>
        <rFont val="Arial"/>
        <family val="0"/>
        <charset val="1"/>
      </rPr>
      <t xml:space="preserve">2607</t>
    </r>
    <r>
      <rPr>
        <sz val="11"/>
        <rFont val="Noto Sans CJK SC"/>
        <family val="2"/>
      </rPr>
      <t xml:space="preserve">산재보험</t>
    </r>
  </si>
  <si>
    <r>
      <rPr>
        <sz val="11"/>
        <rFont val="Arial"/>
        <family val="0"/>
        <charset val="1"/>
      </rPr>
      <t xml:space="preserve">2607</t>
    </r>
    <r>
      <rPr>
        <sz val="11"/>
        <rFont val="Noto Sans CJK SC"/>
        <family val="2"/>
      </rPr>
      <t xml:space="preserve">국민건강</t>
    </r>
  </si>
  <si>
    <t xml:space="preserve">2026.08.05 16:56</t>
  </si>
  <si>
    <t xml:space="preserve">아세아세무</t>
  </si>
  <si>
    <t xml:space="preserve">2026.08.05 16:39</t>
  </si>
  <si>
    <t xml:space="preserve">전기요금</t>
  </si>
  <si>
    <r>
      <rPr>
        <sz val="11"/>
        <rFont val="Arial"/>
        <family val="0"/>
        <charset val="1"/>
      </rPr>
      <t xml:space="preserve">07</t>
    </r>
    <r>
      <rPr>
        <sz val="11"/>
        <rFont val="Noto Sans CJK SC"/>
        <family val="2"/>
      </rPr>
      <t xml:space="preserve">월 전기요금</t>
    </r>
  </si>
  <si>
    <r>
      <rPr>
        <sz val="11"/>
        <color theme="1"/>
        <rFont val="Noto Sans CJK SC"/>
        <family val="2"/>
      </rPr>
      <t xml:space="preserve">수도광열비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전기</t>
    </r>
  </si>
  <si>
    <t xml:space="preserve">2026.07.31 16:43</t>
  </si>
  <si>
    <r>
      <rPr>
        <sz val="11"/>
        <rFont val="Arial"/>
        <family val="0"/>
        <charset val="1"/>
      </rPr>
      <t xml:space="preserve">202607</t>
    </r>
    <r>
      <rPr>
        <sz val="11"/>
        <rFont val="Noto Sans CJK SC"/>
        <family val="2"/>
      </rPr>
      <t xml:space="preserve">수도</t>
    </r>
  </si>
  <si>
    <t xml:space="preserve">2026.07.31 08:04</t>
  </si>
  <si>
    <t xml:space="preserve">2026.07.27 16:35</t>
  </si>
  <si>
    <t xml:space="preserve">2026.07.27 16:34</t>
  </si>
  <si>
    <t xml:space="preserve">2026.07.20 17:38</t>
  </si>
  <si>
    <t xml:space="preserve">2026.07.16 16:40</t>
  </si>
  <si>
    <t xml:space="preserve">2026.07.16 13:20</t>
  </si>
  <si>
    <t xml:space="preserve">2026.07.15 16:52</t>
  </si>
  <si>
    <t xml:space="preserve">2026.07.15 16:44</t>
  </si>
  <si>
    <t xml:space="preserve">2026.07.10 16:52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</si>
  <si>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07</t>
    </r>
  </si>
  <si>
    <t xml:space="preserve">2026.07.10 16:42</t>
  </si>
  <si>
    <r>
      <rPr>
        <sz val="11"/>
        <rFont val="Arial"/>
        <family val="0"/>
        <charset val="1"/>
      </rPr>
      <t xml:space="preserve">2606</t>
    </r>
    <r>
      <rPr>
        <sz val="11"/>
        <rFont val="Noto Sans CJK SC"/>
        <family val="2"/>
      </rPr>
      <t xml:space="preserve">고용보험</t>
    </r>
  </si>
  <si>
    <r>
      <rPr>
        <sz val="11"/>
        <rFont val="Arial"/>
        <family val="0"/>
        <charset val="1"/>
      </rPr>
      <t xml:space="preserve">2606</t>
    </r>
    <r>
      <rPr>
        <sz val="11"/>
        <rFont val="Noto Sans CJK SC"/>
        <family val="2"/>
      </rPr>
      <t xml:space="preserve">산재보험</t>
    </r>
  </si>
  <si>
    <r>
      <rPr>
        <sz val="11"/>
        <rFont val="Arial"/>
        <family val="0"/>
        <charset val="1"/>
      </rPr>
      <t xml:space="preserve">2606</t>
    </r>
    <r>
      <rPr>
        <sz val="11"/>
        <rFont val="Noto Sans CJK SC"/>
        <family val="2"/>
      </rPr>
      <t xml:space="preserve">국민건강</t>
    </r>
  </si>
  <si>
    <r>
      <rPr>
        <sz val="11"/>
        <rFont val="Arial"/>
        <family val="0"/>
        <charset val="1"/>
      </rPr>
      <t xml:space="preserve">2606</t>
    </r>
    <r>
      <rPr>
        <sz val="11"/>
        <rFont val="Noto Sans CJK SC"/>
        <family val="2"/>
      </rPr>
      <t xml:space="preserve">국민연금</t>
    </r>
  </si>
  <si>
    <t xml:space="preserve">2026.07.06 16:54</t>
  </si>
  <si>
    <t xml:space="preserve">2026.07.06 16:40</t>
  </si>
  <si>
    <r>
      <rPr>
        <sz val="11"/>
        <rFont val="Arial"/>
        <family val="0"/>
        <charset val="1"/>
      </rPr>
      <t xml:space="preserve">06</t>
    </r>
    <r>
      <rPr>
        <sz val="11"/>
        <rFont val="Noto Sans CJK SC"/>
        <family val="2"/>
      </rPr>
      <t xml:space="preserve">월 전기요금</t>
    </r>
  </si>
  <si>
    <t xml:space="preserve">2026.06.30 16:44</t>
  </si>
  <si>
    <r>
      <rPr>
        <sz val="11"/>
        <rFont val="Arial"/>
        <family val="0"/>
        <charset val="1"/>
      </rPr>
      <t xml:space="preserve">202606</t>
    </r>
    <r>
      <rPr>
        <sz val="11"/>
        <rFont val="Noto Sans CJK SC"/>
        <family val="2"/>
      </rPr>
      <t xml:space="preserve">수도</t>
    </r>
  </si>
  <si>
    <t xml:space="preserve">2026.06.30 15:19</t>
  </si>
  <si>
    <r>
      <rPr>
        <sz val="11"/>
        <rFont val="Noto Sans CJK SC"/>
        <family val="2"/>
      </rPr>
      <t xml:space="preserve">신경옥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해현철강</t>
    </r>
    <r>
      <rPr>
        <sz val="11"/>
        <rFont val="Arial"/>
        <family val="0"/>
        <charset val="1"/>
      </rPr>
      <t xml:space="preserve">)</t>
    </r>
  </si>
  <si>
    <t xml:space="preserve">2026.06.30 08:02</t>
  </si>
  <si>
    <t xml:space="preserve">2026.06.29 16:33</t>
  </si>
  <si>
    <t xml:space="preserve">2026.06.22 17:47</t>
  </si>
  <si>
    <t xml:space="preserve">2026.06.20 08:54</t>
  </si>
  <si>
    <t xml:space="preserve">2026.06.15 16:52</t>
  </si>
  <si>
    <t xml:space="preserve">2026.06.15 16:47</t>
  </si>
  <si>
    <t xml:space="preserve">2026.06.10 16:52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</si>
  <si>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06</t>
    </r>
  </si>
  <si>
    <t xml:space="preserve">2026.06.10 16:43</t>
  </si>
  <si>
    <r>
      <rPr>
        <sz val="11"/>
        <rFont val="Arial"/>
        <family val="0"/>
        <charset val="1"/>
      </rPr>
      <t xml:space="preserve">2605</t>
    </r>
    <r>
      <rPr>
        <sz val="11"/>
        <rFont val="Noto Sans CJK SC"/>
        <family val="2"/>
      </rPr>
      <t xml:space="preserve">국민건강</t>
    </r>
  </si>
  <si>
    <t xml:space="preserve">2026.06.10 16:42</t>
  </si>
  <si>
    <r>
      <rPr>
        <sz val="11"/>
        <rFont val="Arial"/>
        <family val="0"/>
        <charset val="1"/>
      </rPr>
      <t xml:space="preserve">2605</t>
    </r>
    <r>
      <rPr>
        <sz val="11"/>
        <rFont val="Noto Sans CJK SC"/>
        <family val="2"/>
      </rPr>
      <t xml:space="preserve">고용보험</t>
    </r>
  </si>
  <si>
    <r>
      <rPr>
        <sz val="11"/>
        <rFont val="Arial"/>
        <family val="0"/>
        <charset val="1"/>
      </rPr>
      <t xml:space="preserve">2605</t>
    </r>
    <r>
      <rPr>
        <sz val="11"/>
        <rFont val="Noto Sans CJK SC"/>
        <family val="2"/>
      </rPr>
      <t xml:space="preserve">산재보험</t>
    </r>
  </si>
  <si>
    <t xml:space="preserve">2026.06.10 16:41</t>
  </si>
  <si>
    <r>
      <rPr>
        <sz val="11"/>
        <rFont val="Arial"/>
        <family val="0"/>
        <charset val="1"/>
      </rPr>
      <t xml:space="preserve">2605</t>
    </r>
    <r>
      <rPr>
        <sz val="11"/>
        <rFont val="Noto Sans CJK SC"/>
        <family val="2"/>
      </rPr>
      <t xml:space="preserve">국민연금</t>
    </r>
  </si>
  <si>
    <t xml:space="preserve">2026.06.05 16:55</t>
  </si>
  <si>
    <t xml:space="preserve">2026.06.05 16:40</t>
  </si>
  <si>
    <r>
      <rPr>
        <sz val="11"/>
        <rFont val="Arial"/>
        <family val="0"/>
        <charset val="1"/>
      </rPr>
      <t xml:space="preserve">05</t>
    </r>
    <r>
      <rPr>
        <sz val="11"/>
        <rFont val="Noto Sans CJK SC"/>
        <family val="2"/>
      </rPr>
      <t xml:space="preserve">월 전기요금</t>
    </r>
  </si>
  <si>
    <t xml:space="preserve">2026.06.01 16:45</t>
  </si>
  <si>
    <r>
      <rPr>
        <sz val="11"/>
        <rFont val="Arial"/>
        <family val="0"/>
        <charset val="1"/>
      </rPr>
      <t xml:space="preserve">202605</t>
    </r>
    <r>
      <rPr>
        <sz val="11"/>
        <rFont val="Noto Sans CJK SC"/>
        <family val="2"/>
      </rPr>
      <t xml:space="preserve">수도</t>
    </r>
  </si>
  <si>
    <t xml:space="preserve">2026.06.01 08:05</t>
  </si>
  <si>
    <t xml:space="preserve">2026.05.27 16:33</t>
  </si>
  <si>
    <t xml:space="preserve">2026.05.20 17:28</t>
  </si>
  <si>
    <t xml:space="preserve">2026.05.15 16:51</t>
  </si>
  <si>
    <r>
      <rPr>
        <sz val="11"/>
        <rFont val="Arial"/>
        <family val="0"/>
        <charset val="1"/>
      </rPr>
      <t xml:space="preserve">F/B</t>
    </r>
    <r>
      <rPr>
        <sz val="11"/>
        <rFont val="Noto Sans CJK SC"/>
        <family val="2"/>
      </rPr>
      <t xml:space="preserve">출금</t>
    </r>
  </si>
  <si>
    <t xml:space="preserve">2026.05.15 16:44</t>
  </si>
  <si>
    <t xml:space="preserve">2026.05.12 10:37</t>
  </si>
  <si>
    <t xml:space="preserve">모바일</t>
  </si>
  <si>
    <t xml:space="preserve">예금해지</t>
  </si>
  <si>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예금해지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투자활동</t>
    </r>
    <r>
      <rPr>
        <sz val="11"/>
        <color theme="1"/>
        <rFont val="Calibri"/>
        <family val="2"/>
        <charset val="1"/>
      </rPr>
      <t xml:space="preserve">)</t>
    </r>
  </si>
  <si>
    <t xml:space="preserve">2026.05.11 16:52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</si>
  <si>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05</t>
    </r>
  </si>
  <si>
    <t xml:space="preserve">2026.05.11 16:43</t>
  </si>
  <si>
    <r>
      <rPr>
        <sz val="11"/>
        <rFont val="Arial"/>
        <family val="0"/>
        <charset val="1"/>
      </rPr>
      <t xml:space="preserve">2604</t>
    </r>
    <r>
      <rPr>
        <sz val="11"/>
        <rFont val="Noto Sans CJK SC"/>
        <family val="2"/>
      </rPr>
      <t xml:space="preserve">산재보험</t>
    </r>
  </si>
  <si>
    <t xml:space="preserve">2026.05.11 16:42</t>
  </si>
  <si>
    <r>
      <rPr>
        <sz val="11"/>
        <rFont val="Arial"/>
        <family val="0"/>
        <charset val="1"/>
      </rPr>
      <t xml:space="preserve">2604</t>
    </r>
    <r>
      <rPr>
        <sz val="11"/>
        <rFont val="Noto Sans CJK SC"/>
        <family val="2"/>
      </rPr>
      <t xml:space="preserve">국민건강</t>
    </r>
  </si>
  <si>
    <r>
      <rPr>
        <sz val="11"/>
        <rFont val="Arial"/>
        <family val="0"/>
        <charset val="1"/>
      </rPr>
      <t xml:space="preserve">2604</t>
    </r>
    <r>
      <rPr>
        <sz val="11"/>
        <rFont val="Noto Sans CJK SC"/>
        <family val="2"/>
      </rPr>
      <t xml:space="preserve">국민연금</t>
    </r>
  </si>
  <si>
    <r>
      <rPr>
        <sz val="11"/>
        <rFont val="Arial"/>
        <family val="0"/>
        <charset val="1"/>
      </rPr>
      <t xml:space="preserve">2604</t>
    </r>
    <r>
      <rPr>
        <sz val="11"/>
        <rFont val="Noto Sans CJK SC"/>
        <family val="2"/>
      </rPr>
      <t xml:space="preserve">고용보험</t>
    </r>
  </si>
  <si>
    <t xml:space="preserve">2026.05.06 16:58</t>
  </si>
  <si>
    <t xml:space="preserve">2026.05.06 16:40</t>
  </si>
  <si>
    <r>
      <rPr>
        <sz val="11"/>
        <rFont val="Arial"/>
        <family val="0"/>
        <charset val="1"/>
      </rPr>
      <t xml:space="preserve">04</t>
    </r>
    <r>
      <rPr>
        <sz val="11"/>
        <rFont val="Noto Sans CJK SC"/>
        <family val="2"/>
      </rPr>
      <t xml:space="preserve">월 전기요금</t>
    </r>
  </si>
  <si>
    <t xml:space="preserve">2026.04.30 16:45</t>
  </si>
  <si>
    <r>
      <rPr>
        <sz val="11"/>
        <rFont val="Arial"/>
        <family val="0"/>
        <charset val="1"/>
      </rPr>
      <t xml:space="preserve">202604</t>
    </r>
    <r>
      <rPr>
        <sz val="11"/>
        <rFont val="Noto Sans CJK SC"/>
        <family val="2"/>
      </rPr>
      <t xml:space="preserve">수도</t>
    </r>
  </si>
  <si>
    <t xml:space="preserve">2026.04.30 10:59</t>
  </si>
  <si>
    <t xml:space="preserve">우체윤영기스키드</t>
  </si>
  <si>
    <t xml:space="preserve">국민차상복</t>
  </si>
  <si>
    <t xml:space="preserve">국민선영김선준</t>
  </si>
  <si>
    <t xml:space="preserve">기업미강임가공</t>
  </si>
  <si>
    <t xml:space="preserve">기업윤명한유압류</t>
  </si>
  <si>
    <t xml:space="preserve">2026.04.30 09:48</t>
  </si>
  <si>
    <t xml:space="preserve">2026.04.30 08:06</t>
  </si>
  <si>
    <r>
      <rPr>
        <sz val="11"/>
        <rFont val="Noto Sans CJK SC"/>
        <family val="2"/>
      </rPr>
      <t xml:space="preserve">신한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한만규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아이디</t>
    </r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</si>
  <si>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-(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현대전기</t>
    </r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</si>
  <si>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한국산업안전관</t>
    </r>
  </si>
  <si>
    <r>
      <rPr>
        <sz val="11"/>
        <rFont val="Noto Sans CJK SC"/>
        <family val="2"/>
      </rPr>
      <t xml:space="preserve">농협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주식회사한성소</t>
    </r>
  </si>
  <si>
    <t xml:space="preserve">2026.04.29 12:11</t>
  </si>
  <si>
    <t xml:space="preserve">정연희자보</t>
  </si>
  <si>
    <r>
      <rPr>
        <sz val="11"/>
        <color theme="1"/>
        <rFont val="Noto Sans CJK SC"/>
        <family val="2"/>
      </rPr>
      <t xml:space="preserve">보험료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차량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자동차보험</t>
    </r>
    <r>
      <rPr>
        <sz val="11"/>
        <color theme="1"/>
        <rFont val="Calibri"/>
        <family val="2"/>
        <charset val="1"/>
      </rPr>
      <t xml:space="preserve">)</t>
    </r>
  </si>
  <si>
    <t xml:space="preserve">2026.04.27 16:34</t>
  </si>
  <si>
    <t xml:space="preserve">2026.04.20 17:36</t>
  </si>
  <si>
    <t xml:space="preserve">2026.04.17 11:13</t>
  </si>
  <si>
    <t xml:space="preserve">F/B</t>
  </si>
  <si>
    <t xml:space="preserve">2026.04.16 16:42</t>
  </si>
  <si>
    <t xml:space="preserve">2026.04.16 13:38</t>
  </si>
  <si>
    <t xml:space="preserve">펌뱅킹</t>
  </si>
  <si>
    <t xml:space="preserve">2026.04.16 10:57</t>
  </si>
  <si>
    <r>
      <rPr>
        <sz val="11"/>
        <rFont val="Arial"/>
        <family val="0"/>
        <charset val="1"/>
      </rPr>
      <t xml:space="preserve">I-</t>
    </r>
    <r>
      <rPr>
        <sz val="11"/>
        <rFont val="Noto Sans CJK SC"/>
        <family val="2"/>
      </rPr>
      <t xml:space="preserve">지로</t>
    </r>
  </si>
  <si>
    <t xml:space="preserve">안산시지방소</t>
  </si>
  <si>
    <t xml:space="preserve">2026.04.16 09:37</t>
  </si>
  <si>
    <t xml:space="preserve">2026.04.15 16:49</t>
  </si>
  <si>
    <t xml:space="preserve">2026.04.15 16:45</t>
  </si>
  <si>
    <t xml:space="preserve">2026.04.15 11:07</t>
  </si>
  <si>
    <t xml:space="preserve">신한커피머신대금</t>
  </si>
  <si>
    <t xml:space="preserve">2026.04.13 17:00</t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</si>
  <si>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남은우</t>
    </r>
  </si>
  <si>
    <r>
      <rPr>
        <sz val="11"/>
        <color theme="1"/>
        <rFont val="Noto Sans CJK SC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)-</t>
    </r>
    <r>
      <rPr>
        <sz val="11"/>
        <color theme="1"/>
        <rFont val="Noto Sans CJK SC"/>
        <family val="2"/>
      </rPr>
      <t xml:space="preserve">대표자 정기적금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</si>
  <si>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2026.04.10 16:52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</si>
  <si>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04</t>
    </r>
  </si>
  <si>
    <t xml:space="preserve">2026.04.10 16:43</t>
  </si>
  <si>
    <r>
      <rPr>
        <sz val="11"/>
        <rFont val="Arial"/>
        <family val="0"/>
        <charset val="1"/>
      </rPr>
      <t xml:space="preserve">2603</t>
    </r>
    <r>
      <rPr>
        <sz val="11"/>
        <rFont val="Noto Sans CJK SC"/>
        <family val="2"/>
      </rPr>
      <t xml:space="preserve">산재보험</t>
    </r>
  </si>
  <si>
    <t xml:space="preserve">2026.04.10 16:42</t>
  </si>
  <si>
    <r>
      <rPr>
        <sz val="11"/>
        <rFont val="Arial"/>
        <family val="0"/>
        <charset val="1"/>
      </rPr>
      <t xml:space="preserve">2603</t>
    </r>
    <r>
      <rPr>
        <sz val="11"/>
        <rFont val="Noto Sans CJK SC"/>
        <family val="2"/>
      </rPr>
      <t xml:space="preserve">국민건강</t>
    </r>
  </si>
  <si>
    <r>
      <rPr>
        <sz val="11"/>
        <rFont val="Arial"/>
        <family val="0"/>
        <charset val="1"/>
      </rPr>
      <t xml:space="preserve">2603</t>
    </r>
    <r>
      <rPr>
        <sz val="11"/>
        <rFont val="Noto Sans CJK SC"/>
        <family val="2"/>
      </rPr>
      <t xml:space="preserve">고용보험</t>
    </r>
  </si>
  <si>
    <r>
      <rPr>
        <sz val="11"/>
        <rFont val="Arial"/>
        <family val="0"/>
        <charset val="1"/>
      </rPr>
      <t xml:space="preserve">2603</t>
    </r>
    <r>
      <rPr>
        <sz val="11"/>
        <rFont val="Noto Sans CJK SC"/>
        <family val="2"/>
      </rPr>
      <t xml:space="preserve">국민연금</t>
    </r>
  </si>
  <si>
    <t xml:space="preserve">2026.04.10 13:42</t>
  </si>
  <si>
    <t xml:space="preserve">CRUZ M</t>
  </si>
  <si>
    <t xml:space="preserve">PANLIL</t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</si>
  <si>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DE GUZ</t>
    </r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</si>
  <si>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BUENO</t>
    </r>
  </si>
  <si>
    <r>
      <rPr>
        <sz val="11"/>
        <rFont val="Noto Sans CJK SC"/>
        <family val="2"/>
      </rPr>
      <t xml:space="preserve">하나</t>
    </r>
    <r>
      <rPr>
        <sz val="11"/>
        <rFont val="Arial"/>
        <family val="0"/>
        <charset val="1"/>
      </rPr>
      <t xml:space="preserve">JIN YO</t>
    </r>
  </si>
  <si>
    <r>
      <rPr>
        <sz val="11"/>
        <rFont val="Arial"/>
        <family val="0"/>
        <charset val="1"/>
      </rPr>
      <t xml:space="preserve">SC</t>
    </r>
    <r>
      <rPr>
        <sz val="11"/>
        <rFont val="Noto Sans CJK SC"/>
        <family val="2"/>
      </rPr>
      <t xml:space="preserve">정대균</t>
    </r>
  </si>
  <si>
    <t xml:space="preserve">신한정연희</t>
  </si>
  <si>
    <t xml:space="preserve">농협이원춘</t>
  </si>
  <si>
    <t xml:space="preserve">하나전부영</t>
  </si>
  <si>
    <t xml:space="preserve">하나이정설</t>
  </si>
  <si>
    <t xml:space="preserve">2026.04.10 13:29</t>
  </si>
  <si>
    <t xml:space="preserve">2026.04.06 16:56</t>
  </si>
  <si>
    <t xml:space="preserve">2026.04.06 16:40</t>
  </si>
  <si>
    <r>
      <rPr>
        <sz val="11"/>
        <rFont val="Arial"/>
        <family val="0"/>
        <charset val="1"/>
      </rPr>
      <t xml:space="preserve">03</t>
    </r>
    <r>
      <rPr>
        <sz val="11"/>
        <rFont val="Noto Sans CJK SC"/>
        <family val="2"/>
      </rPr>
      <t xml:space="preserve">월 전기요금</t>
    </r>
  </si>
  <si>
    <t xml:space="preserve">2026.04.02 18:26</t>
  </si>
  <si>
    <t xml:space="preserve">삼성시큐리티종</t>
  </si>
  <si>
    <t xml:space="preserve">2026.04.01 10:54</t>
  </si>
  <si>
    <t xml:space="preserve">신한아이제이테크</t>
  </si>
  <si>
    <t xml:space="preserve">2026.03.31 17:15</t>
  </si>
  <si>
    <r>
      <rPr>
        <sz val="11"/>
        <rFont val="Arial"/>
        <family val="0"/>
        <charset val="1"/>
      </rPr>
      <t xml:space="preserve">202602</t>
    </r>
    <r>
      <rPr>
        <sz val="11"/>
        <rFont val="Noto Sans CJK SC"/>
        <family val="2"/>
      </rPr>
      <t xml:space="preserve">수도</t>
    </r>
  </si>
  <si>
    <r>
      <rPr>
        <sz val="11"/>
        <rFont val="Arial"/>
        <family val="0"/>
        <charset val="1"/>
      </rPr>
      <t xml:space="preserve">202603</t>
    </r>
    <r>
      <rPr>
        <sz val="11"/>
        <rFont val="Noto Sans CJK SC"/>
        <family val="2"/>
      </rPr>
      <t xml:space="preserve">수도</t>
    </r>
  </si>
  <si>
    <t xml:space="preserve">2026.03.31 11:58</t>
  </si>
  <si>
    <t xml:space="preserve">국민선영김선준운반비</t>
  </si>
  <si>
    <t xml:space="preserve">기업강진밴드스키드</t>
  </si>
  <si>
    <t xml:space="preserve">장재균스키드</t>
  </si>
  <si>
    <t xml:space="preserve">신한방위협위회</t>
  </si>
  <si>
    <r>
      <rPr>
        <sz val="11"/>
        <rFont val="Noto Sans CJK SC"/>
        <family val="2"/>
      </rPr>
      <t xml:space="preserve">기업영재철강대산</t>
    </r>
    <r>
      <rPr>
        <sz val="11"/>
        <rFont val="Arial"/>
        <family val="0"/>
        <charset val="1"/>
      </rPr>
      <t xml:space="preserve">-</t>
    </r>
  </si>
  <si>
    <t xml:space="preserve">기업윤명환에스오일</t>
  </si>
  <si>
    <t xml:space="preserve">2026.03.31 08:06</t>
  </si>
  <si>
    <t xml:space="preserve">2026.03.27 17:03</t>
  </si>
  <si>
    <t xml:space="preserve">2026.03.24 09:18</t>
  </si>
  <si>
    <t xml:space="preserve">농협이원춘자보</t>
  </si>
  <si>
    <t xml:space="preserve">2026.03.21 08:54</t>
  </si>
  <si>
    <t xml:space="preserve">2026.03.20 18:00</t>
  </si>
  <si>
    <t xml:space="preserve">2026.03.18 14:26</t>
  </si>
  <si>
    <t xml:space="preserve">기업현대전기안전</t>
  </si>
  <si>
    <t xml:space="preserve">2026.03.17 09:42</t>
  </si>
  <si>
    <t xml:space="preserve">2026.03.16 17:19</t>
  </si>
  <si>
    <t xml:space="preserve">2026.03.16 17:15</t>
  </si>
  <si>
    <t xml:space="preserve">2026.03.12 17:19</t>
  </si>
  <si>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남은우</t>
    </r>
  </si>
  <si>
    <t xml:space="preserve">2026.03.11 11:15</t>
  </si>
  <si>
    <t xml:space="preserve">2026.03.11 11:06</t>
  </si>
  <si>
    <t xml:space="preserve">203068218</t>
  </si>
  <si>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계좌간 자금이체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</si>
  <si>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2026.03.11 10:49</t>
  </si>
  <si>
    <t xml:space="preserve">기업멜벤수당</t>
  </si>
  <si>
    <t xml:space="preserve">2026.03.10 17:23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</si>
  <si>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03</t>
    </r>
  </si>
  <si>
    <t xml:space="preserve">2026.03.10 17:13</t>
  </si>
  <si>
    <r>
      <rPr>
        <sz val="11"/>
        <rFont val="Arial"/>
        <family val="0"/>
        <charset val="1"/>
      </rPr>
      <t xml:space="preserve">2602</t>
    </r>
    <r>
      <rPr>
        <sz val="11"/>
        <rFont val="Noto Sans CJK SC"/>
        <family val="2"/>
      </rPr>
      <t xml:space="preserve">산재보험</t>
    </r>
  </si>
  <si>
    <t xml:space="preserve">2026.03.10 17:12</t>
  </si>
  <si>
    <r>
      <rPr>
        <sz val="11"/>
        <rFont val="Arial"/>
        <family val="0"/>
        <charset val="1"/>
      </rPr>
      <t xml:space="preserve">2602</t>
    </r>
    <r>
      <rPr>
        <sz val="11"/>
        <rFont val="Noto Sans CJK SC"/>
        <family val="2"/>
      </rPr>
      <t xml:space="preserve">국민연금</t>
    </r>
  </si>
  <si>
    <r>
      <rPr>
        <sz val="11"/>
        <rFont val="Arial"/>
        <family val="0"/>
        <charset val="1"/>
      </rPr>
      <t xml:space="preserve">2602</t>
    </r>
    <r>
      <rPr>
        <sz val="11"/>
        <rFont val="Noto Sans CJK SC"/>
        <family val="2"/>
      </rPr>
      <t xml:space="preserve">고용보험</t>
    </r>
  </si>
  <si>
    <r>
      <rPr>
        <sz val="11"/>
        <rFont val="Arial"/>
        <family val="0"/>
        <charset val="1"/>
      </rPr>
      <t xml:space="preserve">2602</t>
    </r>
    <r>
      <rPr>
        <sz val="11"/>
        <rFont val="Noto Sans CJK SC"/>
        <family val="2"/>
      </rPr>
      <t xml:space="preserve">국민건강</t>
    </r>
  </si>
  <si>
    <t xml:space="preserve">2026.03.10 13:21</t>
  </si>
  <si>
    <r>
      <rPr>
        <sz val="11"/>
        <rFont val="Noto Sans CJK SC"/>
        <family val="2"/>
      </rPr>
      <t xml:space="preserve">기업월급여</t>
    </r>
    <r>
      <rPr>
        <sz val="11"/>
        <rFont val="Arial"/>
        <family val="0"/>
        <charset val="1"/>
      </rPr>
      <t xml:space="preserve">ESTOQ</t>
    </r>
  </si>
  <si>
    <r>
      <rPr>
        <sz val="11"/>
        <rFont val="Noto Sans CJK SC"/>
        <family val="2"/>
      </rPr>
      <t xml:space="preserve">하나월급여</t>
    </r>
    <r>
      <rPr>
        <sz val="11"/>
        <rFont val="Arial"/>
        <family val="0"/>
        <charset val="1"/>
      </rPr>
      <t xml:space="preserve">JIN Y</t>
    </r>
  </si>
  <si>
    <r>
      <rPr>
        <sz val="11"/>
        <rFont val="Arial"/>
        <family val="0"/>
        <charset val="1"/>
      </rPr>
      <t xml:space="preserve">SC</t>
    </r>
    <r>
      <rPr>
        <sz val="11"/>
        <rFont val="Noto Sans CJK SC"/>
        <family val="2"/>
      </rPr>
      <t xml:space="preserve">월급여정대균</t>
    </r>
  </si>
  <si>
    <t xml:space="preserve">신한월급여정연희</t>
  </si>
  <si>
    <t xml:space="preserve">농협월급여이원춘</t>
  </si>
  <si>
    <t xml:space="preserve">하나월급여전부영</t>
  </si>
  <si>
    <t xml:space="preserve">하나월급여이정설</t>
  </si>
  <si>
    <t xml:space="preserve">2026.03.10 13:15</t>
  </si>
  <si>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CRUZ MA</t>
    </r>
  </si>
  <si>
    <r>
      <rPr>
        <sz val="11"/>
        <rFont val="Noto Sans CJK SC"/>
        <family val="2"/>
      </rPr>
      <t xml:space="preserve">월급여</t>
    </r>
    <r>
      <rPr>
        <sz val="11"/>
        <rFont val="Arial"/>
        <family val="0"/>
        <charset val="1"/>
      </rPr>
      <t xml:space="preserve">PANLILI</t>
    </r>
  </si>
  <si>
    <r>
      <rPr>
        <sz val="11"/>
        <rFont val="Noto Sans CJK SC"/>
        <family val="2"/>
      </rPr>
      <t xml:space="preserve">기업월급여</t>
    </r>
    <r>
      <rPr>
        <sz val="11"/>
        <rFont val="Arial"/>
        <family val="0"/>
        <charset val="1"/>
      </rPr>
      <t xml:space="preserve">DE GU</t>
    </r>
  </si>
  <si>
    <r>
      <rPr>
        <sz val="11"/>
        <rFont val="Noto Sans CJK SC"/>
        <family val="2"/>
      </rPr>
      <t xml:space="preserve">기업월급여</t>
    </r>
    <r>
      <rPr>
        <sz val="11"/>
        <rFont val="Arial"/>
        <family val="0"/>
        <charset val="1"/>
      </rPr>
      <t xml:space="preserve">BUENO</t>
    </r>
  </si>
  <si>
    <t xml:space="preserve">하나월급여남은우</t>
  </si>
  <si>
    <t xml:space="preserve">2026.03.09 16:16</t>
  </si>
  <si>
    <r>
      <rPr>
        <sz val="11"/>
        <rFont val="Noto Sans CJK SC"/>
        <family val="2"/>
      </rPr>
      <t xml:space="preserve">신한한민규</t>
    </r>
    <r>
      <rPr>
        <sz val="11"/>
        <rFont val="Arial"/>
        <family val="0"/>
        <charset val="1"/>
      </rPr>
      <t xml:space="preserve">ids</t>
    </r>
  </si>
  <si>
    <t xml:space="preserve">2026.03.05 17:22</t>
  </si>
  <si>
    <t xml:space="preserve">2026.03.05 17:10</t>
  </si>
  <si>
    <r>
      <rPr>
        <sz val="11"/>
        <rFont val="Arial"/>
        <family val="0"/>
        <charset val="1"/>
      </rPr>
      <t xml:space="preserve">02</t>
    </r>
    <r>
      <rPr>
        <sz val="11"/>
        <rFont val="Noto Sans CJK SC"/>
        <family val="2"/>
      </rPr>
      <t xml:space="preserve">월 전기요금</t>
    </r>
  </si>
  <si>
    <t xml:space="preserve">2026.03.04 17:03</t>
  </si>
  <si>
    <t xml:space="preserve">2026.03.04 10:56</t>
  </si>
  <si>
    <t xml:space="preserve">2026.02.27 17:04</t>
  </si>
  <si>
    <t xml:space="preserve">2026.02.27 13:41</t>
  </si>
  <si>
    <t xml:space="preserve">스키드</t>
  </si>
  <si>
    <t xml:space="preserve">2026.02.27 13:38</t>
  </si>
  <si>
    <t xml:space="preserve">기업원석철강가공비</t>
  </si>
  <si>
    <t xml:space="preserve">국민김선준운반비</t>
  </si>
  <si>
    <t xml:space="preserve">재성특강가공비</t>
  </si>
  <si>
    <r>
      <rPr>
        <sz val="11"/>
        <rFont val="Noto Sans CJK SC"/>
        <family val="2"/>
      </rPr>
      <t xml:space="preserve">기업안산</t>
    </r>
    <r>
      <rPr>
        <sz val="11"/>
        <rFont val="Arial"/>
        <family val="0"/>
        <charset val="1"/>
      </rPr>
      <t xml:space="preserve">ceo</t>
    </r>
    <r>
      <rPr>
        <sz val="11"/>
        <rFont val="Noto Sans CJK SC"/>
        <family val="2"/>
      </rPr>
      <t xml:space="preserve">포럼회</t>
    </r>
  </si>
  <si>
    <t xml:space="preserve">2026.02.25 14:34</t>
  </si>
  <si>
    <r>
      <rPr>
        <sz val="11"/>
        <color theme="1"/>
        <rFont val="Noto Sans CJK SC"/>
        <family val="2"/>
      </rPr>
      <t xml:space="preserve">기타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)-</t>
    </r>
    <r>
      <rPr>
        <sz val="11"/>
        <color theme="1"/>
        <rFont val="Noto Sans CJK SC"/>
        <family val="2"/>
      </rPr>
      <t xml:space="preserve">대표자 관련 대액 출금</t>
    </r>
  </si>
  <si>
    <t xml:space="preserve">2026.02.25 09:03</t>
  </si>
  <si>
    <t xml:space="preserve">대체입금</t>
  </si>
  <si>
    <t xml:space="preserve">키움더드림단기 매도</t>
  </si>
  <si>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단기금융상품 매도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투자활동</t>
    </r>
    <r>
      <rPr>
        <sz val="11"/>
        <color theme="1"/>
        <rFont val="Calibri"/>
        <family val="2"/>
        <charset val="1"/>
      </rPr>
      <t xml:space="preserve">)</t>
    </r>
  </si>
  <si>
    <t xml:space="preserve">2026.02.20 17:59</t>
  </si>
  <si>
    <t xml:space="preserve">2026.02.20 10:14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</si>
  <si>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큰사랑</t>
    </r>
  </si>
  <si>
    <t xml:space="preserve">2026.02.19 17:25</t>
  </si>
  <si>
    <t xml:space="preserve">2026.02.19 17:17</t>
  </si>
  <si>
    <t xml:space="preserve">2026.02.13 13:35</t>
  </si>
  <si>
    <t xml:space="preserve">오성철강사</t>
  </si>
  <si>
    <t xml:space="preserve">2026.02.13 13:30</t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</si>
  <si>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ESTOQU</t>
    </r>
  </si>
  <si>
    <t xml:space="preserve">하나남은우</t>
  </si>
  <si>
    <t xml:space="preserve">2026.02.12 17:18</t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</si>
  <si>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남은우</t>
    </r>
  </si>
  <si>
    <t xml:space="preserve">2026.02.11 16:13</t>
  </si>
  <si>
    <t xml:space="preserve">2026.02.10 17:26</t>
  </si>
  <si>
    <r>
      <rPr>
        <sz val="11"/>
        <rFont val="Noto Sans CJK SC"/>
        <family val="2"/>
      </rPr>
      <t xml:space="preserve">코웨이렌탈</t>
    </r>
    <r>
      <rPr>
        <sz val="11"/>
        <rFont val="Arial"/>
        <family val="0"/>
        <charset val="1"/>
      </rPr>
      <t xml:space="preserve">02</t>
    </r>
  </si>
  <si>
    <t xml:space="preserve">2026.02.10 17:14</t>
  </si>
  <si>
    <r>
      <rPr>
        <sz val="11"/>
        <rFont val="Arial"/>
        <family val="0"/>
        <charset val="1"/>
      </rPr>
      <t xml:space="preserve">2601</t>
    </r>
    <r>
      <rPr>
        <sz val="11"/>
        <rFont val="Noto Sans CJK SC"/>
        <family val="2"/>
      </rPr>
      <t xml:space="preserve">국민건강</t>
    </r>
  </si>
  <si>
    <r>
      <rPr>
        <sz val="11"/>
        <rFont val="Arial"/>
        <family val="0"/>
        <charset val="1"/>
      </rPr>
      <t xml:space="preserve">2601</t>
    </r>
    <r>
      <rPr>
        <sz val="11"/>
        <rFont val="Noto Sans CJK SC"/>
        <family val="2"/>
      </rPr>
      <t xml:space="preserve">산재보험</t>
    </r>
  </si>
  <si>
    <r>
      <rPr>
        <sz val="11"/>
        <rFont val="Arial"/>
        <family val="0"/>
        <charset val="1"/>
      </rPr>
      <t xml:space="preserve">2601</t>
    </r>
    <r>
      <rPr>
        <sz val="11"/>
        <rFont val="Noto Sans CJK SC"/>
        <family val="2"/>
      </rPr>
      <t xml:space="preserve">국민연금</t>
    </r>
  </si>
  <si>
    <r>
      <rPr>
        <sz val="11"/>
        <rFont val="Arial"/>
        <family val="0"/>
        <charset val="1"/>
      </rPr>
      <t xml:space="preserve">2601</t>
    </r>
    <r>
      <rPr>
        <sz val="11"/>
        <rFont val="Noto Sans CJK SC"/>
        <family val="2"/>
      </rPr>
      <t xml:space="preserve">고용보험</t>
    </r>
  </si>
  <si>
    <t xml:space="preserve">2026.02.10 15:18</t>
  </si>
  <si>
    <r>
      <rPr>
        <sz val="11"/>
        <rFont val="Noto Sans CJK SC"/>
        <family val="2"/>
      </rPr>
      <t xml:space="preserve">기업정현철강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불량</t>
    </r>
    <r>
      <rPr>
        <sz val="11"/>
        <rFont val="Arial"/>
        <family val="0"/>
        <charset val="1"/>
      </rPr>
      <t xml:space="preserve">)</t>
    </r>
  </si>
  <si>
    <t xml:space="preserve">2026.02.10 15:12</t>
  </si>
  <si>
    <t xml:space="preserve">2026.02.10 14:41</t>
  </si>
  <si>
    <t xml:space="preserve">2026.02.09 11:21</t>
  </si>
  <si>
    <t xml:space="preserve">2026.02.05 17:25</t>
  </si>
  <si>
    <t xml:space="preserve">2026.02.05 17:09</t>
  </si>
  <si>
    <r>
      <rPr>
        <sz val="11"/>
        <rFont val="Arial"/>
        <family val="0"/>
        <charset val="1"/>
      </rPr>
      <t xml:space="preserve">01</t>
    </r>
    <r>
      <rPr>
        <sz val="11"/>
        <rFont val="Noto Sans CJK SC"/>
        <family val="2"/>
      </rPr>
      <t xml:space="preserve">월 전기요금</t>
    </r>
  </si>
  <si>
    <t xml:space="preserve">2026.02.05 09:18</t>
  </si>
  <si>
    <t xml:space="preserve">2026.02.04 14:08</t>
  </si>
  <si>
    <t xml:space="preserve">유알오전동드릴</t>
  </si>
  <si>
    <t xml:space="preserve">기업탑테크</t>
  </si>
  <si>
    <t xml:space="preserve">2026.02.02 17:16</t>
  </si>
  <si>
    <r>
      <rPr>
        <sz val="11"/>
        <rFont val="Arial"/>
        <family val="0"/>
        <charset val="1"/>
      </rPr>
      <t xml:space="preserve">202601</t>
    </r>
    <r>
      <rPr>
        <sz val="11"/>
        <rFont val="Noto Sans CJK SC"/>
        <family val="2"/>
      </rPr>
      <t xml:space="preserve">수도</t>
    </r>
  </si>
  <si>
    <t xml:space="preserve">2026.02.02 12:10</t>
  </si>
  <si>
    <t xml:space="preserve">안산시등록면</t>
  </si>
  <si>
    <t xml:space="preserve">2026.02.02 08:09</t>
  </si>
  <si>
    <t xml:space="preserve">2026.01.30 14:57</t>
  </si>
  <si>
    <t xml:space="preserve">우체윤영기</t>
  </si>
  <si>
    <t xml:space="preserve">기업삼양종합모터</t>
  </si>
  <si>
    <t xml:space="preserve">기업원석가공비</t>
  </si>
  <si>
    <t xml:space="preserve">기업미강철강가공비</t>
  </si>
  <si>
    <t xml:space="preserve">국민서원장갑</t>
  </si>
  <si>
    <t xml:space="preserve">국민이타코리아</t>
  </si>
  <si>
    <t xml:space="preserve">씨티최윤호안전화</t>
  </si>
  <si>
    <r>
      <rPr>
        <sz val="11"/>
        <rFont val="Noto Sans CJK SC"/>
        <family val="2"/>
      </rPr>
      <t xml:space="preserve">국민미강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원석운반비</t>
    </r>
  </si>
  <si>
    <t xml:space="preserve">기업고영상사</t>
  </si>
  <si>
    <t xml:space="preserve">소방안전</t>
  </si>
  <si>
    <t xml:space="preserve">기업금성호이스트</t>
  </si>
  <si>
    <t xml:space="preserve">2026.01.29 09:47</t>
  </si>
  <si>
    <t xml:space="preserve">기업가구배송비</t>
  </si>
  <si>
    <t xml:space="preserve">2026.01.27 17:03</t>
  </si>
  <si>
    <t xml:space="preserve">2026.01.23 12:45</t>
  </si>
  <si>
    <t xml:space="preserve">인증서수수료</t>
  </si>
  <si>
    <t xml:space="preserve">2026.01.20 17:57</t>
  </si>
  <si>
    <t xml:space="preserve">2026.01.19 17:20</t>
  </si>
  <si>
    <t xml:space="preserve">경찰청 경기도남부경</t>
  </si>
  <si>
    <t xml:space="preserve">2026.01.19 17:18</t>
  </si>
  <si>
    <t xml:space="preserve">2026.01.16 17:10</t>
  </si>
  <si>
    <t xml:space="preserve">2026.01.16 12:43</t>
  </si>
  <si>
    <t xml:space="preserve">2026.01.15 17:19</t>
  </si>
  <si>
    <t xml:space="preserve">2026.01.15 17:11</t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</si>
  <si>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전기요금</t>
    </r>
  </si>
  <si>
    <t xml:space="preserve">2026.01.15 13:26</t>
  </si>
  <si>
    <t xml:space="preserve">신한세이지부가세</t>
  </si>
  <si>
    <t xml:space="preserve">2026.01.15 13:19</t>
  </si>
  <si>
    <t xml:space="preserve">2026.01.14 17:11</t>
  </si>
  <si>
    <t xml:space="preserve">2026.01.12 17:48</t>
  </si>
  <si>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남은우</t>
    </r>
  </si>
  <si>
    <t xml:space="preserve">2026.01.12 17:13</t>
  </si>
  <si>
    <r>
      <rPr>
        <sz val="11"/>
        <rFont val="Arial"/>
        <family val="0"/>
        <charset val="1"/>
      </rPr>
      <t xml:space="preserve">2512</t>
    </r>
    <r>
      <rPr>
        <sz val="11"/>
        <rFont val="Noto Sans CJK SC"/>
        <family val="2"/>
      </rPr>
      <t xml:space="preserve">국민건강</t>
    </r>
  </si>
  <si>
    <r>
      <rPr>
        <sz val="11"/>
        <rFont val="Arial"/>
        <family val="0"/>
        <charset val="1"/>
      </rPr>
      <t xml:space="preserve">2512</t>
    </r>
    <r>
      <rPr>
        <sz val="11"/>
        <rFont val="Noto Sans CJK SC"/>
        <family val="2"/>
      </rPr>
      <t xml:space="preserve">국민연금</t>
    </r>
  </si>
  <si>
    <t xml:space="preserve">2026.01.12 17:12</t>
  </si>
  <si>
    <r>
      <rPr>
        <sz val="11"/>
        <rFont val="Arial"/>
        <family val="0"/>
        <charset val="1"/>
      </rPr>
      <t xml:space="preserve">2512</t>
    </r>
    <r>
      <rPr>
        <sz val="11"/>
        <rFont val="Noto Sans CJK SC"/>
        <family val="2"/>
      </rPr>
      <t xml:space="preserve">고용보험</t>
    </r>
  </si>
  <si>
    <r>
      <rPr>
        <sz val="11"/>
        <rFont val="Arial"/>
        <family val="0"/>
        <charset val="1"/>
      </rPr>
      <t xml:space="preserve">2512</t>
    </r>
    <r>
      <rPr>
        <sz val="11"/>
        <rFont val="Noto Sans CJK SC"/>
        <family val="2"/>
      </rPr>
      <t xml:space="preserve">산재보험</t>
    </r>
  </si>
  <si>
    <t xml:space="preserve">2026.01.12 13:12</t>
  </si>
  <si>
    <t xml:space="preserve">2026.01.12 13:11</t>
  </si>
  <si>
    <t xml:space="preserve">2026.01.12 12:57</t>
  </si>
  <si>
    <t xml:space="preserve">2026.01.09 10:47</t>
  </si>
  <si>
    <t xml:space="preserve">2026.01.06 17:28</t>
  </si>
  <si>
    <t xml:space="preserve">대한강재불량및비</t>
  </si>
  <si>
    <t xml:space="preserve">2026.01.06 15:35</t>
  </si>
  <si>
    <t xml:space="preserve">기업강은규스키드</t>
  </si>
  <si>
    <t xml:space="preserve">2026.01.06 09:31</t>
  </si>
  <si>
    <t xml:space="preserve">2026.01.05 17:11</t>
  </si>
  <si>
    <t xml:space="preserve">2025.12.31 17:13</t>
  </si>
  <si>
    <r>
      <rPr>
        <sz val="11"/>
        <rFont val="Arial"/>
        <family val="0"/>
        <charset val="1"/>
      </rPr>
      <t xml:space="preserve">202512</t>
    </r>
    <r>
      <rPr>
        <sz val="11"/>
        <rFont val="Noto Sans CJK SC"/>
        <family val="2"/>
      </rPr>
      <t xml:space="preserve">수도</t>
    </r>
  </si>
  <si>
    <t xml:space="preserve">2025.12.31 15:16</t>
  </si>
  <si>
    <t xml:space="preserve">기업대흥엔지니어링</t>
  </si>
  <si>
    <r>
      <rPr>
        <sz val="11"/>
        <rFont val="Noto Sans CJK SC"/>
        <family val="2"/>
      </rPr>
      <t xml:space="preserve">신한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에이스솔션</t>
    </r>
  </si>
  <si>
    <t xml:space="preserve">하나태성회계법인</t>
  </si>
  <si>
    <t xml:space="preserve">2025.12.31 14:56</t>
  </si>
  <si>
    <r>
      <rPr>
        <sz val="11"/>
        <rFont val="Noto Sans CJK SC"/>
        <family val="2"/>
      </rPr>
      <t xml:space="preserve">우체윤영기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스키드</t>
    </r>
  </si>
  <si>
    <r>
      <rPr>
        <sz val="11"/>
        <rFont val="Noto Sans CJK SC"/>
        <family val="2"/>
      </rPr>
      <t xml:space="preserve">기업원석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정현등가비</t>
    </r>
  </si>
  <si>
    <r>
      <rPr>
        <sz val="11"/>
        <rFont val="Noto Sans CJK SC"/>
        <family val="2"/>
      </rPr>
      <t xml:space="preserve">기업미강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대산가공비</t>
    </r>
  </si>
  <si>
    <t xml:space="preserve">신한방위세</t>
  </si>
  <si>
    <t xml:space="preserve">이원춘자동차세</t>
  </si>
  <si>
    <t xml:space="preserve">기업베스트상사</t>
  </si>
  <si>
    <t xml:space="preserve">신한최윤애</t>
  </si>
  <si>
    <t xml:space="preserve">2025.12.31 09:55</t>
  </si>
  <si>
    <t xml:space="preserve">2025.12.31 08:01</t>
  </si>
  <si>
    <t xml:space="preserve">2025.12.29 17:04</t>
  </si>
  <si>
    <t xml:space="preserve">2025.12.23 09:58</t>
  </si>
  <si>
    <t xml:space="preserve">시흥시자동차</t>
  </si>
  <si>
    <t xml:space="preserve">2025.12.22 18:18</t>
  </si>
  <si>
    <t xml:space="preserve">2025.12.20 08:24</t>
  </si>
  <si>
    <t xml:space="preserve">2025.12.17 12:21</t>
  </si>
  <si>
    <t xml:space="preserve">2025.12.15 17:22</t>
  </si>
  <si>
    <t xml:space="preserve">2025.12.15 12:59</t>
  </si>
  <si>
    <t xml:space="preserve">2025.12.15 12:54</t>
  </si>
  <si>
    <t xml:space="preserve">2025.12.12 17:20</t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</si>
  <si>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남은우</t>
    </r>
  </si>
  <si>
    <t xml:space="preserve">2025.12.10 17:14</t>
  </si>
  <si>
    <r>
      <rPr>
        <sz val="11"/>
        <rFont val="Arial"/>
        <family val="0"/>
        <charset val="1"/>
      </rPr>
      <t xml:space="preserve">2511</t>
    </r>
    <r>
      <rPr>
        <sz val="11"/>
        <rFont val="Noto Sans CJK SC"/>
        <family val="2"/>
      </rPr>
      <t xml:space="preserve">국민건강</t>
    </r>
  </si>
  <si>
    <t xml:space="preserve">2025.12.10 17:13</t>
  </si>
  <si>
    <r>
      <rPr>
        <sz val="11"/>
        <rFont val="Arial"/>
        <family val="0"/>
        <charset val="1"/>
      </rPr>
      <t xml:space="preserve">2511</t>
    </r>
    <r>
      <rPr>
        <sz val="11"/>
        <rFont val="Noto Sans CJK SC"/>
        <family val="2"/>
      </rPr>
      <t xml:space="preserve">국민연금</t>
    </r>
  </si>
  <si>
    <r>
      <rPr>
        <sz val="11"/>
        <rFont val="Arial"/>
        <family val="0"/>
        <charset val="1"/>
      </rPr>
      <t xml:space="preserve">2511</t>
    </r>
    <r>
      <rPr>
        <sz val="11"/>
        <rFont val="Noto Sans CJK SC"/>
        <family val="2"/>
      </rPr>
      <t xml:space="preserve">산재보험</t>
    </r>
  </si>
  <si>
    <r>
      <rPr>
        <sz val="11"/>
        <rFont val="Arial"/>
        <family val="0"/>
        <charset val="1"/>
      </rPr>
      <t xml:space="preserve">2511</t>
    </r>
    <r>
      <rPr>
        <sz val="11"/>
        <rFont val="Noto Sans CJK SC"/>
        <family val="2"/>
      </rPr>
      <t xml:space="preserve">고용보험</t>
    </r>
  </si>
  <si>
    <t xml:space="preserve">2025.12.10 16:55</t>
  </si>
  <si>
    <t xml:space="preserve">2025.12.09 10:01</t>
  </si>
  <si>
    <t xml:space="preserve">2025.12.08 11:39</t>
  </si>
  <si>
    <r>
      <rPr>
        <sz val="11"/>
        <rFont val="Noto Sans CJK SC"/>
        <family val="2"/>
      </rPr>
      <t xml:space="preserve">신한</t>
    </r>
    <r>
      <rPr>
        <sz val="11"/>
        <rFont val="Arial"/>
        <family val="0"/>
        <charset val="1"/>
      </rPr>
      <t xml:space="preserve">RTC-1014</t>
    </r>
  </si>
  <si>
    <t xml:space="preserve">2025.12.05 17:24</t>
  </si>
  <si>
    <t xml:space="preserve">2025.12.05 17:10</t>
  </si>
  <si>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월 전기요금</t>
    </r>
  </si>
  <si>
    <t xml:space="preserve">2025.12.04 17:18</t>
  </si>
  <si>
    <t xml:space="preserve">경기테크노파크</t>
  </si>
  <si>
    <r>
      <rPr>
        <sz val="11"/>
        <color theme="1"/>
        <rFont val="Noto Sans CJK SC"/>
        <family val="2"/>
      </rPr>
      <t xml:space="preserve">잡수익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정부지원금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</si>
  <si>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2025.12.04 13:23</t>
  </si>
  <si>
    <t xml:space="preserve">2025.12.01 17:14</t>
  </si>
  <si>
    <r>
      <rPr>
        <sz val="11"/>
        <rFont val="Arial"/>
        <family val="0"/>
        <charset val="1"/>
      </rPr>
      <t xml:space="preserve">202511</t>
    </r>
    <r>
      <rPr>
        <sz val="11"/>
        <rFont val="Noto Sans CJK SC"/>
        <family val="2"/>
      </rPr>
      <t xml:space="preserve">수도</t>
    </r>
  </si>
  <si>
    <t xml:space="preserve">2025.12.01 15:23</t>
  </si>
  <si>
    <t xml:space="preserve">씨티지벤상사동복</t>
  </si>
  <si>
    <t xml:space="preserve">기업원석철강</t>
  </si>
  <si>
    <t xml:space="preserve">농협페이퍼문화</t>
  </si>
  <si>
    <r>
      <rPr>
        <sz val="11"/>
        <rFont val="Noto Sans CJK SC"/>
        <family val="2"/>
      </rPr>
      <t xml:space="preserve">국민미강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원석</t>
    </r>
  </si>
  <si>
    <t xml:space="preserve">신한마크진료비등</t>
  </si>
  <si>
    <r>
      <rPr>
        <sz val="11"/>
        <color theme="1"/>
        <rFont val="Noto Sans CJK SC"/>
        <family val="2"/>
      </rPr>
      <t xml:space="preserve">복리후생비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의료비</t>
    </r>
  </si>
  <si>
    <t xml:space="preserve">기업원스틸클맆</t>
  </si>
  <si>
    <t xml:space="preserve">신한최윤애원프드</t>
  </si>
  <si>
    <t xml:space="preserve">2025.12.01 08:18</t>
  </si>
  <si>
    <t xml:space="preserve">2025.11.27 17:03</t>
  </si>
  <si>
    <t xml:space="preserve">2025.11.25 16:45</t>
  </si>
  <si>
    <r>
      <rPr>
        <sz val="11"/>
        <rFont val="Arial"/>
        <family val="0"/>
        <charset val="1"/>
      </rPr>
      <t xml:space="preserve">2510</t>
    </r>
    <r>
      <rPr>
        <sz val="11"/>
        <rFont val="Noto Sans CJK SC"/>
        <family val="2"/>
      </rPr>
      <t xml:space="preserve">고용보험</t>
    </r>
  </si>
  <si>
    <r>
      <rPr>
        <sz val="11"/>
        <rFont val="Arial"/>
        <family val="0"/>
        <charset val="1"/>
      </rPr>
      <t xml:space="preserve">2510</t>
    </r>
    <r>
      <rPr>
        <sz val="11"/>
        <rFont val="Noto Sans CJK SC"/>
        <family val="2"/>
      </rPr>
      <t xml:space="preserve">국민연금</t>
    </r>
  </si>
  <si>
    <t xml:space="preserve">2025.11.20 17:52</t>
  </si>
  <si>
    <t xml:space="preserve">2025.11.17 17:19</t>
  </si>
  <si>
    <t xml:space="preserve">2025.11.17 13:07</t>
  </si>
  <si>
    <t xml:space="preserve">현금지급</t>
  </si>
  <si>
    <t xml:space="preserve">전부영 퇴직금</t>
  </si>
  <si>
    <t xml:space="preserve">2025.11.17 10:59</t>
  </si>
  <si>
    <t xml:space="preserve">기업정현철강화물차리</t>
  </si>
  <si>
    <t xml:space="preserve">2025.11.12 17:27</t>
  </si>
  <si>
    <t xml:space="preserve">하나전부영퇴직금중</t>
  </si>
  <si>
    <t xml:space="preserve">2025.11.12 17:19</t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</si>
  <si>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남은우</t>
    </r>
  </si>
  <si>
    <t xml:space="preserve">2025.11.12 15:50</t>
  </si>
  <si>
    <t xml:space="preserve">기업강윤구회계사무소</t>
  </si>
  <si>
    <t xml:space="preserve">2025.11.12 13:39</t>
  </si>
  <si>
    <t xml:space="preserve">2025.11.12 13:32</t>
  </si>
  <si>
    <t xml:space="preserve">농협이정복현대전기</t>
  </si>
  <si>
    <t xml:space="preserve">2025.11.11 08:58</t>
  </si>
  <si>
    <t xml:space="preserve">이체</t>
  </si>
  <si>
    <t xml:space="preserve">키움더드림단기매도</t>
  </si>
  <si>
    <t xml:space="preserve">2025.11.10 17:13</t>
  </si>
  <si>
    <r>
      <rPr>
        <sz val="11"/>
        <rFont val="Arial"/>
        <family val="0"/>
        <charset val="1"/>
      </rPr>
      <t xml:space="preserve">2510</t>
    </r>
    <r>
      <rPr>
        <sz val="11"/>
        <rFont val="Noto Sans CJK SC"/>
        <family val="2"/>
      </rPr>
      <t xml:space="preserve">산재보험</t>
    </r>
  </si>
  <si>
    <t xml:space="preserve">2025.11.10 17:11</t>
  </si>
  <si>
    <r>
      <rPr>
        <sz val="11"/>
        <rFont val="Arial"/>
        <family val="0"/>
        <charset val="1"/>
      </rPr>
      <t xml:space="preserve">2510</t>
    </r>
    <r>
      <rPr>
        <sz val="11"/>
        <rFont val="Noto Sans CJK SC"/>
        <family val="2"/>
      </rPr>
      <t xml:space="preserve">국민건강</t>
    </r>
  </si>
  <si>
    <t xml:space="preserve">2025.11.10 14:54</t>
  </si>
  <si>
    <t xml:space="preserve">기업급여</t>
  </si>
  <si>
    <t xml:space="preserve">하나급여</t>
  </si>
  <si>
    <r>
      <rPr>
        <sz val="11"/>
        <rFont val="Arial"/>
        <family val="0"/>
        <charset val="1"/>
      </rPr>
      <t xml:space="preserve">SC</t>
    </r>
    <r>
      <rPr>
        <sz val="11"/>
        <rFont val="Noto Sans CJK SC"/>
        <family val="2"/>
      </rPr>
      <t xml:space="preserve">급여</t>
    </r>
  </si>
  <si>
    <t xml:space="preserve">신한급여</t>
  </si>
  <si>
    <t xml:space="preserve">농협급여</t>
  </si>
  <si>
    <t xml:space="preserve">2025.11.10 14:38</t>
  </si>
  <si>
    <t xml:space="preserve">2025.11.10 14:30</t>
  </si>
  <si>
    <t xml:space="preserve">2025.11.06 09:50</t>
  </si>
  <si>
    <t xml:space="preserve">기업호이스트레벨러금</t>
  </si>
  <si>
    <t xml:space="preserve">2025.11.05 17:22</t>
  </si>
  <si>
    <t xml:space="preserve">2025.11.05 17:09</t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</si>
  <si>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월 전기요금</t>
    </r>
  </si>
  <si>
    <t xml:space="preserve">2025.11.04 16:37</t>
  </si>
  <si>
    <t xml:space="preserve">경기경제과학</t>
  </si>
  <si>
    <t xml:space="preserve">2025.11.03 14:54</t>
  </si>
  <si>
    <r>
      <rPr>
        <sz val="11"/>
        <rFont val="Noto Sans CJK SC"/>
        <family val="2"/>
      </rPr>
      <t xml:space="preserve">국민오성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원석</t>
    </r>
  </si>
  <si>
    <t xml:space="preserve">기업위드환경연구원</t>
  </si>
  <si>
    <t xml:space="preserve">신한원프드최윤애</t>
  </si>
  <si>
    <t xml:space="preserve">2025.10.31 17:12</t>
  </si>
  <si>
    <r>
      <rPr>
        <sz val="11"/>
        <rFont val="Arial"/>
        <family val="0"/>
        <charset val="1"/>
      </rPr>
      <t xml:space="preserve">202510</t>
    </r>
    <r>
      <rPr>
        <sz val="11"/>
        <rFont val="Noto Sans CJK SC"/>
        <family val="2"/>
      </rPr>
      <t xml:space="preserve">수도</t>
    </r>
  </si>
  <si>
    <t xml:space="preserve">2025.10.31 08:02</t>
  </si>
  <si>
    <t xml:space="preserve">2025.10.28 16:55</t>
  </si>
  <si>
    <t xml:space="preserve">신한세이지주식회사</t>
  </si>
  <si>
    <t xml:space="preserve">신한서비스톰필름</t>
  </si>
  <si>
    <t xml:space="preserve">2025.10.28 16:54</t>
  </si>
  <si>
    <t xml:space="preserve">국민삼정커뮤니케이션</t>
  </si>
  <si>
    <t xml:space="preserve">2025.10.27 16:46</t>
  </si>
  <si>
    <r>
      <rPr>
        <sz val="11"/>
        <rFont val="Arial"/>
        <family val="0"/>
        <charset val="1"/>
      </rPr>
      <t xml:space="preserve">2509</t>
    </r>
    <r>
      <rPr>
        <sz val="11"/>
        <rFont val="Noto Sans CJK SC"/>
        <family val="2"/>
      </rPr>
      <t xml:space="preserve">국민건강</t>
    </r>
  </si>
  <si>
    <t xml:space="preserve">2025.10.27 13:03</t>
  </si>
  <si>
    <t xml:space="preserve">2025.10.27 08:59</t>
  </si>
  <si>
    <t xml:space="preserve">2025.10.24 10:51</t>
  </si>
  <si>
    <t xml:space="preserve">하나안산상공회하반기</t>
  </si>
  <si>
    <t xml:space="preserve">2025.10.20 17:57</t>
  </si>
  <si>
    <t xml:space="preserve">2025.10.17 10:40</t>
  </si>
  <si>
    <t xml:space="preserve">국민벨리엔트데이터</t>
  </si>
  <si>
    <t xml:space="preserve">2025.10.15 17:20</t>
  </si>
  <si>
    <t xml:space="preserve">2025.10.15 15:55</t>
  </si>
  <si>
    <r>
      <rPr>
        <sz val="11"/>
        <rFont val="Arial"/>
        <family val="0"/>
        <charset val="1"/>
      </rPr>
      <t xml:space="preserve">won</t>
    </r>
    <r>
      <rPr>
        <sz val="11"/>
        <rFont val="Noto Sans CJK SC"/>
        <family val="2"/>
      </rPr>
      <t xml:space="preserve">통장</t>
    </r>
  </si>
  <si>
    <t xml:space="preserve">2025.10.15 14:28</t>
  </si>
  <si>
    <t xml:space="preserve">2025.10.15 14:21</t>
  </si>
  <si>
    <t xml:space="preserve">2025.10.14 17:12</t>
  </si>
  <si>
    <t xml:space="preserve">2025.10.13 17:29</t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</si>
  <si>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남은우</t>
    </r>
  </si>
  <si>
    <t xml:space="preserve">2025.10.13 15:35</t>
  </si>
  <si>
    <t xml:space="preserve">2025.10.13 09:13</t>
  </si>
  <si>
    <t xml:space="preserve">2025.10.10 17:18</t>
  </si>
  <si>
    <t xml:space="preserve">2025.10.10 17:17</t>
  </si>
  <si>
    <r>
      <rPr>
        <sz val="11"/>
        <rFont val="Arial"/>
        <family val="0"/>
        <charset val="1"/>
      </rPr>
      <t xml:space="preserve">2509</t>
    </r>
    <r>
      <rPr>
        <sz val="11"/>
        <rFont val="Noto Sans CJK SC"/>
        <family val="2"/>
      </rPr>
      <t xml:space="preserve">국민연금</t>
    </r>
  </si>
  <si>
    <t xml:space="preserve">2025.10.10 17:16</t>
  </si>
  <si>
    <r>
      <rPr>
        <sz val="11"/>
        <rFont val="Arial"/>
        <family val="0"/>
        <charset val="1"/>
      </rPr>
      <t xml:space="preserve">2509</t>
    </r>
    <r>
      <rPr>
        <sz val="11"/>
        <rFont val="Noto Sans CJK SC"/>
        <family val="2"/>
      </rPr>
      <t xml:space="preserve">산재보험</t>
    </r>
  </si>
  <si>
    <t xml:space="preserve">2025.10.10 17:15</t>
  </si>
  <si>
    <r>
      <rPr>
        <sz val="11"/>
        <rFont val="Arial"/>
        <family val="0"/>
        <charset val="1"/>
      </rPr>
      <t xml:space="preserve">2509</t>
    </r>
    <r>
      <rPr>
        <sz val="11"/>
        <rFont val="Noto Sans CJK SC"/>
        <family val="2"/>
      </rPr>
      <t xml:space="preserve">고용보험</t>
    </r>
  </si>
  <si>
    <t xml:space="preserve">2025.10.10 17:13</t>
  </si>
  <si>
    <r>
      <rPr>
        <sz val="11"/>
        <rFont val="Arial"/>
        <family val="0"/>
        <charset val="1"/>
      </rPr>
      <t xml:space="preserve">09</t>
    </r>
    <r>
      <rPr>
        <sz val="11"/>
        <rFont val="Noto Sans CJK SC"/>
        <family val="2"/>
      </rPr>
      <t xml:space="preserve">월 전기요금</t>
    </r>
  </si>
  <si>
    <t xml:space="preserve">2025.09.30 17:13</t>
  </si>
  <si>
    <r>
      <rPr>
        <sz val="11"/>
        <rFont val="Arial"/>
        <family val="0"/>
        <charset val="1"/>
      </rPr>
      <t xml:space="preserve">202509</t>
    </r>
    <r>
      <rPr>
        <sz val="11"/>
        <rFont val="Noto Sans CJK SC"/>
        <family val="2"/>
      </rPr>
      <t xml:space="preserve">수도</t>
    </r>
  </si>
  <si>
    <t xml:space="preserve">2025.09.30 16:18</t>
  </si>
  <si>
    <t xml:space="preserve">기업승원철강밴딩분</t>
  </si>
  <si>
    <t xml:space="preserve">2025.09.30 16:13</t>
  </si>
  <si>
    <t xml:space="preserve">1005203</t>
  </si>
  <si>
    <t xml:space="preserve">2025.09.30 15:47</t>
  </si>
  <si>
    <t xml:space="preserve">국민차상복스키드</t>
  </si>
  <si>
    <t xml:space="preserve">기업샤링기나이프교체</t>
  </si>
  <si>
    <r>
      <rPr>
        <sz val="11"/>
        <rFont val="Noto Sans CJK SC"/>
        <family val="2"/>
      </rPr>
      <t xml:space="preserve">국민ㅇ성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원석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개분</t>
    </r>
  </si>
  <si>
    <t xml:space="preserve">하나서성남운반비</t>
  </si>
  <si>
    <t xml:space="preserve">국민천안중기박종승</t>
  </si>
  <si>
    <t xml:space="preserve">2025.09.30 08:04</t>
  </si>
  <si>
    <t xml:space="preserve">2025.09.29 17:28</t>
  </si>
  <si>
    <t xml:space="preserve">2025.09.29 17:03</t>
  </si>
  <si>
    <t xml:space="preserve">2025.09.25 16:52</t>
  </si>
  <si>
    <t xml:space="preserve">화재보험</t>
  </si>
  <si>
    <t xml:space="preserve">2025.09.25 14:54</t>
  </si>
  <si>
    <t xml:space="preserve">화제보험</t>
  </si>
  <si>
    <t xml:space="preserve">2025.09.22 18:07</t>
  </si>
  <si>
    <t xml:space="preserve">2025.09.20 08:41</t>
  </si>
  <si>
    <t xml:space="preserve">2025.09.15 17:21</t>
  </si>
  <si>
    <t xml:space="preserve">2025.09.12 17:20</t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</si>
  <si>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남은우</t>
    </r>
  </si>
  <si>
    <t xml:space="preserve">2025.09.10 17:15</t>
  </si>
  <si>
    <r>
      <rPr>
        <sz val="11"/>
        <rFont val="Arial"/>
        <family val="0"/>
        <charset val="1"/>
      </rPr>
      <t xml:space="preserve">2508</t>
    </r>
    <r>
      <rPr>
        <sz val="11"/>
        <rFont val="Noto Sans CJK SC"/>
        <family val="2"/>
      </rPr>
      <t xml:space="preserve">국민건강</t>
    </r>
  </si>
  <si>
    <t xml:space="preserve">2025.09.10 17:14</t>
  </si>
  <si>
    <r>
      <rPr>
        <sz val="11"/>
        <rFont val="Arial"/>
        <family val="0"/>
        <charset val="1"/>
      </rPr>
      <t xml:space="preserve">2508</t>
    </r>
    <r>
      <rPr>
        <sz val="11"/>
        <rFont val="Noto Sans CJK SC"/>
        <family val="2"/>
      </rPr>
      <t xml:space="preserve">산재보험</t>
    </r>
  </si>
  <si>
    <t xml:space="preserve">2025.09.10 17:13</t>
  </si>
  <si>
    <r>
      <rPr>
        <sz val="11"/>
        <rFont val="Arial"/>
        <family val="0"/>
        <charset val="1"/>
      </rPr>
      <t xml:space="preserve">2508</t>
    </r>
    <r>
      <rPr>
        <sz val="11"/>
        <rFont val="Noto Sans CJK SC"/>
        <family val="2"/>
      </rPr>
      <t xml:space="preserve">국민연금</t>
    </r>
  </si>
  <si>
    <r>
      <rPr>
        <sz val="11"/>
        <rFont val="Arial"/>
        <family val="0"/>
        <charset val="1"/>
      </rPr>
      <t xml:space="preserve">2508</t>
    </r>
    <r>
      <rPr>
        <sz val="11"/>
        <rFont val="Noto Sans CJK SC"/>
        <family val="2"/>
      </rPr>
      <t xml:space="preserve">고용보험</t>
    </r>
  </si>
  <si>
    <t xml:space="preserve">2025.09.10 15:50</t>
  </si>
  <si>
    <t xml:space="preserve">기업죠셉퇴직금정산</t>
  </si>
  <si>
    <t xml:space="preserve">2025.09.10 14:08</t>
  </si>
  <si>
    <t xml:space="preserve">니드</t>
  </si>
  <si>
    <t xml:space="preserve">아스</t>
  </si>
  <si>
    <t xml:space="preserve">기업키어</t>
  </si>
  <si>
    <t xml:space="preserve">기업마크</t>
  </si>
  <si>
    <r>
      <rPr>
        <sz val="11"/>
        <rFont val="Noto Sans CJK SC"/>
        <family val="2"/>
      </rPr>
      <t xml:space="preserve">기업</t>
    </r>
    <r>
      <rPr>
        <sz val="11"/>
        <rFont val="Arial"/>
        <family val="0"/>
        <charset val="1"/>
      </rPr>
      <t xml:space="preserve">ESTAFI</t>
    </r>
  </si>
  <si>
    <t xml:space="preserve">2025.09.10 14:07</t>
  </si>
  <si>
    <t xml:space="preserve">2025.09.09 09:56</t>
  </si>
  <si>
    <t xml:space="preserve">오성철강</t>
  </si>
  <si>
    <t xml:space="preserve">2025.09.08 11:48</t>
  </si>
  <si>
    <t xml:space="preserve">기업호이스트장비대</t>
  </si>
  <si>
    <t xml:space="preserve">2025.09.05 17:11</t>
  </si>
  <si>
    <r>
      <rPr>
        <sz val="11"/>
        <rFont val="Arial"/>
        <family val="0"/>
        <charset val="1"/>
      </rPr>
      <t xml:space="preserve">08</t>
    </r>
    <r>
      <rPr>
        <sz val="11"/>
        <rFont val="Noto Sans CJK SC"/>
        <family val="2"/>
      </rPr>
      <t xml:space="preserve">월 전기요금</t>
    </r>
  </si>
  <si>
    <t xml:space="preserve">2025.09.05 09:02</t>
  </si>
  <si>
    <t xml:space="preserve">2025.09.03 12:29</t>
  </si>
  <si>
    <t xml:space="preserve">외국인등록비</t>
  </si>
  <si>
    <t xml:space="preserve">농협경제분석연구원</t>
  </si>
  <si>
    <t xml:space="preserve">2025.09.03 08:59</t>
  </si>
  <si>
    <t xml:space="preserve">2025.09.01 17:18</t>
  </si>
  <si>
    <r>
      <rPr>
        <sz val="11"/>
        <rFont val="Arial"/>
        <family val="0"/>
        <charset val="1"/>
      </rPr>
      <t xml:space="preserve">202508</t>
    </r>
    <r>
      <rPr>
        <sz val="11"/>
        <rFont val="Noto Sans CJK SC"/>
        <family val="2"/>
      </rPr>
      <t xml:space="preserve">수도</t>
    </r>
  </si>
  <si>
    <t xml:space="preserve">2025.09.01 14:09</t>
  </si>
  <si>
    <t xml:space="preserve">시흥시지방세</t>
  </si>
  <si>
    <t xml:space="preserve">2025.09.01 08:04</t>
  </si>
  <si>
    <t xml:space="preserve">2025.09.01 08:03</t>
  </si>
  <si>
    <r>
      <rPr>
        <b val="true"/>
        <sz val="14"/>
        <rFont val="Arial"/>
        <family val="0"/>
        <charset val="1"/>
      </rPr>
      <t xml:space="preserve">2025.09~2026.08 (1</t>
    </r>
    <r>
      <rPr>
        <b val="true"/>
        <sz val="14"/>
        <rFont val="Noto Sans CJK SC"/>
        <family val="2"/>
      </rPr>
      <t xml:space="preserve">년</t>
    </r>
    <r>
      <rPr>
        <b val="true"/>
        <sz val="14"/>
        <rFont val="Arial"/>
        <family val="0"/>
        <charset val="1"/>
      </rPr>
      <t xml:space="preserve">) </t>
    </r>
    <r>
      <rPr>
        <b val="true"/>
        <sz val="14"/>
        <rFont val="Noto Sans CJK SC"/>
        <family val="2"/>
      </rPr>
      <t xml:space="preserve">비용 요약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은행 출금 기준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카테고리별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</si>
  <si>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아래 금액은 비용</t>
    </r>
    <r>
      <rPr>
        <i val="true"/>
        <sz val="9"/>
        <color rgb="FF6B7280"/>
        <rFont val="Arial"/>
        <family val="0"/>
        <charset val="1"/>
      </rPr>
      <t xml:space="preserve">_</t>
    </r>
    <r>
      <rPr>
        <i val="true"/>
        <sz val="9"/>
        <color rgb="FF6B7280"/>
        <rFont val="Noto Sans CJK SC"/>
        <family val="2"/>
      </rPr>
      <t xml:space="preserve">거래내역 시트를 </t>
    </r>
    <r>
      <rPr>
        <i val="true"/>
        <sz val="9"/>
        <color rgb="FF6B7280"/>
        <rFont val="Arial"/>
        <family val="0"/>
        <charset val="1"/>
      </rPr>
      <t xml:space="preserve">SUMIF</t>
    </r>
    <r>
      <rPr>
        <i val="true"/>
        <sz val="9"/>
        <color rgb="FF6B7280"/>
        <rFont val="Noto Sans CJK SC"/>
        <family val="2"/>
      </rPr>
      <t xml:space="preserve">로 집계한 값입니다</t>
    </r>
    <r>
      <rPr>
        <i val="true"/>
        <sz val="9"/>
        <color rgb="FF6B7280"/>
        <rFont val="Arial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카테고리 재분류가 필요하면 비용</t>
    </r>
    <r>
      <rPr>
        <i val="true"/>
        <sz val="9"/>
        <color rgb="FF6B7280"/>
        <rFont val="Arial"/>
        <family val="0"/>
        <charset val="1"/>
      </rPr>
      <t xml:space="preserve">_</t>
    </r>
    <r>
      <rPr>
        <i val="true"/>
        <sz val="9"/>
        <color rgb="FF6B7280"/>
        <rFont val="Noto Sans CJK SC"/>
        <family val="2"/>
      </rPr>
      <t xml:space="preserve">거래내역의 </t>
    </r>
    <r>
      <rPr>
        <i val="true"/>
        <sz val="9"/>
        <color rgb="FF6B7280"/>
        <rFont val="Arial"/>
        <family val="0"/>
        <charset val="1"/>
      </rPr>
      <t xml:space="preserve">H</t>
    </r>
    <r>
      <rPr>
        <i val="true"/>
        <sz val="9"/>
        <color rgb="FF6B7280"/>
        <rFont val="Noto Sans CJK SC"/>
        <family val="2"/>
      </rPr>
      <t xml:space="preserve">열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카테고리</t>
    </r>
    <r>
      <rPr>
        <i val="true"/>
        <sz val="9"/>
        <color rgb="FF6B7280"/>
        <rFont val="Arial"/>
        <family val="0"/>
        <charset val="1"/>
      </rPr>
      <t xml:space="preserve">)</t>
    </r>
    <r>
      <rPr>
        <i val="true"/>
        <sz val="9"/>
        <color rgb="FF6B7280"/>
        <rFont val="Noto Sans CJK SC"/>
        <family val="2"/>
      </rPr>
      <t xml:space="preserve">을 수정하면 자동 반영됩니다</t>
    </r>
    <r>
      <rPr>
        <i val="true"/>
        <sz val="9"/>
        <color rgb="FF6B7280"/>
        <rFont val="Arial"/>
        <family val="0"/>
        <charset val="1"/>
      </rPr>
      <t xml:space="preserve">.</t>
    </r>
  </si>
  <si>
    <t xml:space="preserve">비용 항목</t>
  </si>
  <si>
    <r>
      <rPr>
        <sz val="11"/>
        <rFont val="Noto Sans CJK SC"/>
        <family val="2"/>
      </rPr>
      <t xml:space="preserve">인건비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급여</t>
    </r>
  </si>
  <si>
    <r>
      <rPr>
        <sz val="11"/>
        <rFont val="Noto Sans CJK SC"/>
        <family val="2"/>
      </rPr>
      <t xml:space="preserve">인건비</t>
    </r>
    <r>
      <rPr>
        <sz val="11"/>
        <rFont val="Arial"/>
        <family val="0"/>
        <charset val="1"/>
      </rPr>
      <t xml:space="preserve">-4</t>
    </r>
    <r>
      <rPr>
        <sz val="11"/>
        <rFont val="Noto Sans CJK SC"/>
        <family val="2"/>
      </rPr>
      <t xml:space="preserve">대보험</t>
    </r>
  </si>
  <si>
    <r>
      <rPr>
        <sz val="11"/>
        <rFont val="Noto Sans CJK SC"/>
        <family val="2"/>
      </rPr>
      <t xml:space="preserve">수도광열비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전기</t>
    </r>
  </si>
  <si>
    <r>
      <rPr>
        <sz val="11"/>
        <rFont val="Noto Sans CJK SC"/>
        <family val="2"/>
      </rPr>
      <t xml:space="preserve">지급수수료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기타용역</t>
    </r>
  </si>
  <si>
    <r>
      <rPr>
        <sz val="11"/>
        <rFont val="Noto Sans CJK SC"/>
        <family val="2"/>
      </rPr>
      <t xml:space="preserve">세금과공과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부가가치세</t>
    </r>
  </si>
  <si>
    <r>
      <rPr>
        <sz val="11"/>
        <rFont val="Noto Sans CJK SC"/>
        <family val="2"/>
      </rPr>
      <t xml:space="preserve">외주가공비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자재비</t>
    </r>
  </si>
  <si>
    <r>
      <rPr>
        <sz val="11"/>
        <rFont val="Noto Sans CJK SC"/>
        <family val="2"/>
      </rPr>
      <t xml:space="preserve">복리후생비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단체보험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</si>
  <si>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인건비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퇴직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연금</t>
    </r>
  </si>
  <si>
    <r>
      <rPr>
        <sz val="11"/>
        <rFont val="Noto Sans CJK SC"/>
        <family val="2"/>
      </rPr>
      <t xml:space="preserve">수선비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소모품비</t>
    </r>
  </si>
  <si>
    <r>
      <rPr>
        <sz val="11"/>
        <rFont val="Noto Sans CJK SC"/>
        <family val="2"/>
      </rPr>
      <t xml:space="preserve">지급수수료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세무기장</t>
    </r>
  </si>
  <si>
    <r>
      <rPr>
        <sz val="11"/>
        <rFont val="Noto Sans CJK SC"/>
        <family val="2"/>
      </rPr>
      <t xml:space="preserve">수선비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광고</t>
    </r>
  </si>
  <si>
    <r>
      <rPr>
        <sz val="11"/>
        <rFont val="Noto Sans CJK SC"/>
        <family val="2"/>
      </rPr>
      <t xml:space="preserve">복리후생비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식대</t>
    </r>
  </si>
  <si>
    <r>
      <rPr>
        <sz val="11"/>
        <rFont val="Noto Sans CJK SC"/>
        <family val="2"/>
      </rPr>
      <t xml:space="preserve">복리후생비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휴가비</t>
    </r>
  </si>
  <si>
    <r>
      <rPr>
        <sz val="11"/>
        <rFont val="Noto Sans CJK SC"/>
        <family val="2"/>
      </rPr>
      <t xml:space="preserve">기타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노란우산공제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대표자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</si>
  <si>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보험료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차량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자동차보험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</si>
  <si>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무형자산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개발비</t>
    </r>
  </si>
  <si>
    <r>
      <rPr>
        <sz val="11"/>
        <rFont val="Noto Sans CJK SC"/>
        <family val="2"/>
      </rPr>
      <t xml:space="preserve">보험료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일반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화재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차량 등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</si>
  <si>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수도광열비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수도</t>
    </r>
  </si>
  <si>
    <r>
      <rPr>
        <sz val="11"/>
        <rFont val="Noto Sans CJK SC"/>
        <family val="2"/>
      </rPr>
      <t xml:space="preserve">임차료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렌탈</t>
    </r>
  </si>
  <si>
    <r>
      <rPr>
        <sz val="11"/>
        <rFont val="Noto Sans CJK SC"/>
        <family val="2"/>
      </rPr>
      <t xml:space="preserve">지급수수료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환경측정</t>
    </r>
  </si>
  <si>
    <r>
      <rPr>
        <sz val="11"/>
        <rFont val="Noto Sans CJK SC"/>
        <family val="2"/>
      </rPr>
      <t xml:space="preserve">지급수수료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안전관리</t>
    </r>
  </si>
  <si>
    <r>
      <rPr>
        <sz val="11"/>
        <rFont val="Noto Sans CJK SC"/>
        <family val="2"/>
      </rPr>
      <t xml:space="preserve">복리후생비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의료비</t>
    </r>
  </si>
  <si>
    <r>
      <rPr>
        <sz val="11"/>
        <rFont val="Noto Sans CJK SC"/>
        <family val="2"/>
      </rPr>
      <t xml:space="preserve">세금과공과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방송수신료</t>
    </r>
  </si>
  <si>
    <r>
      <rPr>
        <sz val="11"/>
        <rFont val="Noto Sans CJK SC"/>
        <family val="2"/>
      </rPr>
      <t xml:space="preserve">복리후생비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건강검진</t>
    </r>
  </si>
  <si>
    <r>
      <rPr>
        <sz val="11"/>
        <rFont val="Noto Sans CJK SC"/>
        <family val="2"/>
      </rPr>
      <t xml:space="preserve">기타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확인필요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</si>
  <si>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영업비용 합계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대표자 관련 특수항목 제외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</si>
  <si>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별도 참고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영업비용 아님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위 합계에서 제외됨</t>
    </r>
    <r>
      <rPr>
        <b val="true"/>
        <sz val="11"/>
        <rFont val="Arial"/>
        <family val="0"/>
        <charset val="1"/>
      </rPr>
      <t xml:space="preserve">)</t>
    </r>
  </si>
  <si>
    <t xml:space="preserve">항목</t>
  </si>
  <si>
    <r>
      <rPr>
        <i val="true"/>
        <sz val="9"/>
        <color rgb="FF6B7280"/>
        <rFont val="Noto Sans CJK SC"/>
        <family val="2"/>
      </rPr>
      <t xml:space="preserve">설비투자</t>
    </r>
    <r>
      <rPr>
        <i val="true"/>
        <sz val="9"/>
        <color rgb="FF6B7280"/>
        <rFont val="Arial"/>
        <family val="0"/>
        <charset val="1"/>
      </rPr>
      <t xml:space="preserve">(CAPEX)-</t>
    </r>
    <r>
      <rPr>
        <i val="true"/>
        <sz val="9"/>
        <color rgb="FF6B7280"/>
        <rFont val="Noto Sans CJK SC"/>
        <family val="2"/>
      </rPr>
      <t xml:space="preserve">비용아님</t>
    </r>
  </si>
  <si>
    <r>
      <rPr>
        <i val="true"/>
        <sz val="9"/>
        <color rgb="FF6B7280"/>
        <rFont val="Noto Sans CJK SC"/>
        <family val="2"/>
      </rPr>
      <t xml:space="preserve">매출채권 회수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수금</t>
    </r>
    <r>
      <rPr>
        <i val="true"/>
        <sz val="9"/>
        <color rgb="FF6B7280"/>
        <rFont val="Arial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참고용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</si>
  <si>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계좌간 자금이체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참고용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</si>
  <si>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계좌간 자금이체 </t>
    </r>
    <r>
      <rPr>
        <i val="true"/>
        <sz val="9"/>
        <color rgb="FF6B7280"/>
        <rFont val="Arial"/>
        <family val="0"/>
        <charset val="1"/>
      </rPr>
      <t xml:space="preserve">2(</t>
    </r>
    <r>
      <rPr>
        <i val="true"/>
        <sz val="9"/>
        <color rgb="FF6B7280"/>
        <rFont val="Noto Sans CJK SC"/>
        <family val="2"/>
      </rPr>
      <t xml:space="preserve">참고용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</si>
  <si>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단기금융상품 매도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투자활동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</si>
  <si>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예금해지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투자활동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</si>
  <si>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잡수익</t>
    </r>
    <r>
      <rPr>
        <i val="true"/>
        <sz val="9"/>
        <color rgb="FF6B7280"/>
        <rFont val="Arial"/>
        <family val="0"/>
        <charset val="1"/>
      </rPr>
      <t xml:space="preserve">-</t>
    </r>
    <r>
      <rPr>
        <i val="true"/>
        <sz val="9"/>
        <color rgb="FF6B7280"/>
        <rFont val="Noto Sans CJK SC"/>
        <family val="2"/>
      </rPr>
      <t xml:space="preserve">이자수익</t>
    </r>
  </si>
  <si>
    <r>
      <rPr>
        <i val="true"/>
        <sz val="9"/>
        <color rgb="FF6B7280"/>
        <rFont val="Noto Sans CJK SC"/>
        <family val="2"/>
      </rPr>
      <t xml:space="preserve">잡수익</t>
    </r>
    <r>
      <rPr>
        <i val="true"/>
        <sz val="9"/>
        <color rgb="FF6B7280"/>
        <rFont val="Arial"/>
        <family val="0"/>
        <charset val="1"/>
      </rPr>
      <t xml:space="preserve">-</t>
    </r>
    <r>
      <rPr>
        <i val="true"/>
        <sz val="9"/>
        <color rgb="FF6B7280"/>
        <rFont val="Noto Sans CJK SC"/>
        <family val="2"/>
      </rPr>
      <t xml:space="preserve">정부지원금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고용부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</si>
  <si>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잡수익</t>
    </r>
    <r>
      <rPr>
        <i val="true"/>
        <sz val="9"/>
        <color rgb="FF6B7280"/>
        <rFont val="Arial"/>
        <family val="0"/>
        <charset val="1"/>
      </rPr>
      <t xml:space="preserve">-</t>
    </r>
    <r>
      <rPr>
        <i val="true"/>
        <sz val="9"/>
        <color rgb="FF6B7280"/>
        <rFont val="Noto Sans CJK SC"/>
        <family val="2"/>
      </rPr>
      <t xml:space="preserve">정부지원금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추정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</si>
  <si>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환급</t>
    </r>
    <r>
      <rPr>
        <i val="true"/>
        <sz val="9"/>
        <color rgb="FF6B7280"/>
        <rFont val="Arial"/>
        <family val="0"/>
        <charset val="1"/>
      </rPr>
      <t xml:space="preserve">-</t>
    </r>
    <r>
      <rPr>
        <i val="true"/>
        <sz val="9"/>
        <color rgb="FF6B7280"/>
        <rFont val="Noto Sans CJK SC"/>
        <family val="2"/>
      </rPr>
      <t xml:space="preserve">세무서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추정</t>
    </r>
    <r>
      <rPr>
        <i val="true"/>
        <sz val="9"/>
        <color rgb="FF6B7280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</si>
  <si>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대표자 관련 확인필요 특수항목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별도표기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위 영업비용 합계에서 제외</t>
    </r>
    <r>
      <rPr>
        <b val="true"/>
        <sz val="11"/>
        <rFont val="Arial"/>
        <family val="0"/>
        <charset val="1"/>
      </rPr>
      <t xml:space="preserve">)</t>
    </r>
  </si>
  <si>
    <t xml:space="preserve">대표자 관련 대액 출금</t>
  </si>
  <si>
    <r>
      <rPr>
        <sz val="11"/>
        <rFont val="Noto Sans CJK SC"/>
        <family val="2"/>
      </rPr>
      <t xml:space="preserve">대표자 정기적금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</si>
  <si>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대표자 관련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용도미상</t>
    </r>
    <r>
      <rPr>
        <sz val="11"/>
        <rFont val="Arial"/>
        <family val="0"/>
        <charset val="1"/>
      </rPr>
      <t xml:space="preserve">)</t>
    </r>
  </si>
  <si>
    <t xml:space="preserve">대표자 특수항목 합계</t>
  </si>
  <si>
    <r>
      <rPr>
        <b val="true"/>
        <sz val="14"/>
        <rFont val="Noto Sans CJK SC"/>
        <family val="2"/>
      </rPr>
      <t xml:space="preserve">월별 매출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영업비용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손익 추이 </t>
    </r>
    <r>
      <rPr>
        <b val="true"/>
        <sz val="14"/>
        <rFont val="Arial"/>
        <family val="0"/>
        <charset val="1"/>
      </rPr>
      <t xml:space="preserve">(2025.09 ~ 2026.08)</t>
    </r>
  </si>
  <si>
    <r>
      <rPr>
        <i val="true"/>
        <sz val="9"/>
        <color rgb="FF6B7280"/>
        <rFont val="Noto Sans CJK SC"/>
        <family val="2"/>
      </rPr>
      <t xml:space="preserve">매출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그린</t>
    </r>
    <r>
      <rPr>
        <i val="true"/>
        <sz val="9"/>
        <color rgb="FF6B7280"/>
        <rFont val="Arial"/>
        <family val="0"/>
        <charset val="1"/>
      </rPr>
      <t xml:space="preserve">ERP(</t>
    </r>
    <r>
      <rPr>
        <i val="true"/>
        <sz val="9"/>
        <color rgb="FF6B7280"/>
        <rFont val="Noto Sans CJK SC"/>
        <family val="2"/>
      </rPr>
      <t xml:space="preserve">발생주의</t>
    </r>
    <r>
      <rPr>
        <i val="true"/>
        <sz val="9"/>
        <color rgb="FF6B7280"/>
        <rFont val="Arial"/>
        <family val="0"/>
        <charset val="1"/>
      </rPr>
      <t xml:space="preserve">) + </t>
    </r>
    <r>
      <rPr>
        <i val="true"/>
        <sz val="9"/>
        <color rgb="FF6B7280"/>
        <rFont val="Noto Sans CJK SC"/>
        <family val="2"/>
      </rPr>
      <t xml:space="preserve">스크랩 매출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은행입금 실제 </t>
    </r>
    <r>
      <rPr>
        <i val="true"/>
        <sz val="9"/>
        <color rgb="FF6B7280"/>
        <rFont val="Arial"/>
        <family val="0"/>
        <charset val="1"/>
      </rPr>
      <t xml:space="preserve">+ </t>
    </r>
    <r>
      <rPr>
        <i val="true"/>
        <sz val="9"/>
        <color rgb="FF6B7280"/>
        <rFont val="Noto Sans CJK SC"/>
        <family val="2"/>
      </rPr>
      <t xml:space="preserve">현금 가정</t>
    </r>
    <r>
      <rPr>
        <i val="true"/>
        <sz val="9"/>
        <color rgb="FF6B7280"/>
        <rFont val="Arial"/>
        <family val="0"/>
        <charset val="1"/>
      </rPr>
      <t xml:space="preserve">) / </t>
    </r>
    <r>
      <rPr>
        <i val="true"/>
        <sz val="9"/>
        <color rgb="FF6B7280"/>
        <rFont val="Noto Sans CJK SC"/>
        <family val="2"/>
      </rPr>
      <t xml:space="preserve">비용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은행 실제출금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현금주의</t>
    </r>
    <r>
      <rPr>
        <i val="true"/>
        <sz val="9"/>
        <color rgb="FF6B7280"/>
        <rFont val="Arial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대표자 특수항목 제외</t>
    </r>
    <r>
      <rPr>
        <i val="true"/>
        <sz val="9"/>
        <color rgb="FF6B7280"/>
        <rFont val="Arial"/>
        <family val="0"/>
        <charset val="1"/>
      </rPr>
      <t xml:space="preserve">) — </t>
    </r>
    <r>
      <rPr>
        <i val="true"/>
        <sz val="9"/>
        <color rgb="FF6B7280"/>
        <rFont val="Noto Sans CJK SC"/>
        <family val="2"/>
      </rPr>
      <t xml:space="preserve">노란 열은 미확인 가정치가 포함되어 있습니다</t>
    </r>
    <r>
      <rPr>
        <i val="true"/>
        <sz val="9"/>
        <color rgb="FF6B7280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</si>
  <si>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ERP</t>
    </r>
    <r>
      <rPr>
        <b val="true"/>
        <sz val="11"/>
        <color rgb="FFFFFFFF"/>
        <rFont val="Noto Sans CJK SC"/>
        <family val="2"/>
      </rPr>
      <t xml:space="preserve">매출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</si>
  <si>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스크랩매출</t>
    </r>
    <r>
      <rPr>
        <b val="true"/>
        <sz val="11"/>
        <color rgb="FFFFFFFF"/>
        <rFont val="Arial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은행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</si>
  <si>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스크랩매출</t>
    </r>
    <r>
      <rPr>
        <b val="true"/>
        <sz val="11"/>
        <color rgb="FFFFFFFF"/>
        <rFont val="Arial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현금가정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</si>
  <si>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총매출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</si>
  <si>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영업비용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</si>
  <si>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손익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</si>
  <si>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B45309"/>
        <rFont val="Noto Sans CJK SC"/>
        <family val="2"/>
      </rPr>
      <t xml:space="preserve">※ 노란 열</t>
    </r>
    <r>
      <rPr>
        <i val="true"/>
        <sz val="9"/>
        <color rgb="FFB45309"/>
        <rFont val="Arial"/>
        <family val="0"/>
        <charset val="1"/>
      </rPr>
      <t xml:space="preserve">(</t>
    </r>
    <r>
      <rPr>
        <i val="true"/>
        <sz val="9"/>
        <color rgb="FFB45309"/>
        <rFont val="Noto Sans CJK SC"/>
        <family val="2"/>
      </rPr>
      <t xml:space="preserve">스크랩매출</t>
    </r>
    <r>
      <rPr>
        <i val="true"/>
        <sz val="9"/>
        <color rgb="FFB45309"/>
        <rFont val="Arial"/>
        <family val="0"/>
        <charset val="1"/>
      </rPr>
      <t xml:space="preserve">-</t>
    </r>
    <r>
      <rPr>
        <i val="true"/>
        <sz val="9"/>
        <color rgb="FFB45309"/>
        <rFont val="Noto Sans CJK SC"/>
        <family val="2"/>
      </rPr>
      <t xml:space="preserve">현금가정</t>
    </r>
    <r>
      <rPr>
        <i val="true"/>
        <sz val="9"/>
        <color rgb="FFB45309"/>
        <rFont val="Arial"/>
        <family val="0"/>
        <charset val="1"/>
      </rPr>
      <t xml:space="preserve">)</t>
    </r>
    <r>
      <rPr>
        <i val="true"/>
        <sz val="9"/>
        <color rgb="FFB45309"/>
        <rFont val="Noto Sans CJK SC"/>
        <family val="2"/>
      </rPr>
      <t xml:space="preserve">은 실제 장부</t>
    </r>
    <r>
      <rPr>
        <i val="true"/>
        <sz val="9"/>
        <color rgb="FFB45309"/>
        <rFont val="Arial"/>
        <family val="0"/>
        <charset val="1"/>
      </rPr>
      <t xml:space="preserve">·</t>
    </r>
    <r>
      <rPr>
        <i val="true"/>
        <sz val="9"/>
        <color rgb="FFB45309"/>
        <rFont val="Noto Sans CJK SC"/>
        <family val="2"/>
      </rPr>
      <t xml:space="preserve">계좌 근거가 없는 대표님 말씀 기준 추정치</t>
    </r>
    <r>
      <rPr>
        <i val="true"/>
        <sz val="9"/>
        <color rgb="FFB45309"/>
        <rFont val="Arial"/>
        <family val="0"/>
        <charset val="1"/>
      </rPr>
      <t xml:space="preserve">(</t>
    </r>
    <r>
      <rPr>
        <i val="true"/>
        <sz val="9"/>
        <color rgb="FFB45309"/>
        <rFont val="Noto Sans CJK SC"/>
        <family val="2"/>
      </rPr>
      <t xml:space="preserve">월 </t>
    </r>
    <r>
      <rPr>
        <i val="true"/>
        <sz val="9"/>
        <color rgb="FFB45309"/>
        <rFont val="Arial"/>
        <family val="0"/>
        <charset val="1"/>
      </rPr>
      <t xml:space="preserve">400</t>
    </r>
    <r>
      <rPr>
        <i val="true"/>
        <sz val="9"/>
        <color rgb="FFB45309"/>
        <rFont val="Noto Sans CJK SC"/>
        <family val="2"/>
      </rPr>
      <t xml:space="preserve">만원</t>
    </r>
    <r>
      <rPr>
        <i val="true"/>
        <sz val="9"/>
        <color rgb="FFB45309"/>
        <rFont val="Arial"/>
        <family val="0"/>
        <charset val="1"/>
      </rPr>
      <t xml:space="preserve">)</t>
    </r>
    <r>
      <rPr>
        <i val="true"/>
        <sz val="9"/>
        <color rgb="FFB45309"/>
        <rFont val="Noto Sans CJK SC"/>
        <family val="2"/>
      </rPr>
      <t xml:space="preserve">입니다</t>
    </r>
    <r>
      <rPr>
        <i val="true"/>
        <sz val="9"/>
        <color rgb="FFB45309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</si>
  <si>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년 실적 관련 특이사항 및 별도표기 항목</t>
    </r>
  </si>
  <si>
    <r>
      <rPr>
        <b val="true"/>
        <sz val="11"/>
        <rFont val="Arial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현금 잔액 </t>
    </r>
    <r>
      <rPr>
        <b val="true"/>
        <sz val="11"/>
        <rFont val="Arial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손익 추정치 — 반드시 함께 읽어야 할 참고사항</t>
    </r>
  </si>
  <si>
    <r>
      <rPr>
        <sz val="10"/>
        <rFont val="Noto Sans CJK SC"/>
        <family val="2"/>
      </rPr>
      <t xml:space="preserve">은행 계좌 잔액은 지난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년간 오히려 증가했습니다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하나은행 </t>
    </r>
    <r>
      <rPr>
        <sz val="10"/>
        <rFont val="Arial"/>
        <family val="0"/>
        <charset val="1"/>
      </rPr>
      <t xml:space="preserve">6,728,340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(25.09.02) → 64,516,597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(26.08.31), </t>
    </r>
    <r>
      <rPr>
        <sz val="10"/>
        <rFont val="Noto Sans CJK SC"/>
        <family val="2"/>
      </rPr>
      <t xml:space="preserve">우리은행 </t>
    </r>
    <r>
      <rPr>
        <sz val="10"/>
        <rFont val="Arial"/>
        <family val="0"/>
        <charset val="1"/>
      </rPr>
      <t xml:space="preserve">8,963,200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(25.09.01) → 19,616,417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(26.08.31). </t>
    </r>
    <r>
      <rPr>
        <sz val="10"/>
        <rFont val="Noto Sans CJK SC"/>
        <family val="2"/>
      </rPr>
      <t xml:space="preserve">합산 </t>
    </r>
    <r>
      <rPr>
        <sz val="10"/>
        <rFont val="Arial"/>
        <family val="0"/>
        <charset val="1"/>
      </rPr>
      <t xml:space="preserve">+68,441,474</t>
    </r>
    <r>
      <rPr>
        <sz val="10"/>
        <rFont val="Noto Sans CJK SC"/>
        <family val="2"/>
      </rPr>
      <t xml:space="preserve">원 증가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</si>
  <si>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반면 본 자료의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매출</t>
    </r>
    <r>
      <rPr>
        <sz val="10"/>
        <rFont val="Arial"/>
        <family val="0"/>
        <charset val="1"/>
      </rPr>
      <t xml:space="preserve">(ERP </t>
    </r>
    <r>
      <rPr>
        <sz val="10"/>
        <rFont val="Noto Sans CJK SC"/>
        <family val="2"/>
      </rPr>
      <t xml:space="preserve">발생주의</t>
    </r>
    <r>
      <rPr>
        <sz val="10"/>
        <rFont val="Arial"/>
        <family val="0"/>
        <charset val="1"/>
      </rPr>
      <t xml:space="preserve">) - </t>
    </r>
    <r>
      <rPr>
        <sz val="10"/>
        <rFont val="Noto Sans CJK SC"/>
        <family val="2"/>
      </rPr>
      <t xml:space="preserve">영업비용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은행 현금주의</t>
    </r>
    <r>
      <rPr>
        <sz val="10"/>
        <rFont val="Arial"/>
        <family val="0"/>
        <charset val="1"/>
      </rPr>
      <t xml:space="preserve">)" </t>
    </r>
    <r>
      <rPr>
        <sz val="10"/>
        <rFont val="Noto Sans CJK SC"/>
        <family val="2"/>
      </rPr>
      <t xml:space="preserve">방식으로 추정한 손익은 약 </t>
    </r>
    <r>
      <rPr>
        <sz val="10"/>
        <rFont val="Arial"/>
        <family val="0"/>
        <charset val="1"/>
      </rPr>
      <t xml:space="preserve">-222,706,845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적자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두 수치는 서로 다른 것을 측정하고 있어 모순이 아닙니다</t>
    </r>
    <r>
      <rPr>
        <sz val="10"/>
        <rFont val="Arial"/>
        <family val="0"/>
        <charset val="1"/>
      </rPr>
      <t xml:space="preserve">: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</si>
  <si>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단기금융상품 매도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예금해지로 유입된 현금 </t>
    </r>
    <r>
      <rPr>
        <sz val="10"/>
        <rFont val="Arial"/>
        <family val="0"/>
        <charset val="1"/>
      </rPr>
      <t xml:space="preserve">288,307,837</t>
    </r>
    <r>
      <rPr>
        <sz val="10"/>
        <rFont val="Noto Sans CJK SC"/>
        <family val="2"/>
      </rPr>
      <t xml:space="preserve">원은 매출이 아니라 기존에 회사가 보유하던 투자자산을 현금화한 것입니다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재무활동 성격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</si>
  <si>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세무서 환급 </t>
    </r>
    <r>
      <rPr>
        <sz val="10"/>
        <rFont val="Arial"/>
        <family val="0"/>
        <charset val="1"/>
      </rPr>
      <t xml:space="preserve">31,808,560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정부지원금 등 잡수익 </t>
    </r>
    <r>
      <rPr>
        <sz val="10"/>
        <rFont val="Arial"/>
        <family val="0"/>
        <charset val="1"/>
      </rPr>
      <t xml:space="preserve">15,726,877</t>
    </r>
    <r>
      <rPr>
        <sz val="10"/>
        <rFont val="Noto Sans CJK SC"/>
        <family val="2"/>
      </rPr>
      <t xml:space="preserve">원도 영업활동 매출과는 별개입니다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</si>
  <si>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회사는 영업활동만으로는 비용을 충당하지 못했고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추정 적자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보유 투자자산 해지 및 환급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지원금으로 그 부족분을 메우면서 계좌 잔액 자체는 늘어난 것으로 추정됩니다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</si>
  <si>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  - </t>
    </r>
    <r>
      <rPr>
        <b val="true"/>
        <sz val="10"/>
        <rFont val="Noto Sans CJK SC"/>
        <family val="2"/>
      </rPr>
      <t xml:space="preserve">본 추정에는 대출 원금 증감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미수금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미지급금 등 재무상태표 항목이 반영되어 있지 않아 정확한 손익은 세무대리인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회계사의 결산 자료로 별도 확인이 필요합니다</t>
    </r>
    <r>
      <rPr>
        <b val="true"/>
        <sz val="10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</si>
  <si>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2. ERP </t>
    </r>
    <r>
      <rPr>
        <b val="true"/>
        <sz val="11"/>
        <rFont val="Noto Sans CJK SC"/>
        <family val="2"/>
      </rPr>
      <t xml:space="preserve">매출과 은행 매출채권 회수액의 차이</t>
    </r>
  </si>
  <si>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발생주의 매출 합계</t>
    </r>
    <r>
      <rPr>
        <sz val="10"/>
        <rFont val="Arial"/>
        <family val="0"/>
        <charset val="1"/>
      </rPr>
      <t xml:space="preserve">: 673,459,335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은행 매출채권 회수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합계</t>
    </r>
    <r>
      <rPr>
        <sz val="10"/>
        <rFont val="Arial"/>
        <family val="0"/>
        <charset val="1"/>
      </rPr>
      <t xml:space="preserve">: 746,320,800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차이 </t>
    </r>
    <r>
      <rPr>
        <sz val="10"/>
        <rFont val="Arial"/>
        <family val="0"/>
        <charset val="1"/>
      </rPr>
      <t xml:space="preserve">+72,861,465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</si>
  <si>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결제 시점 차이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작업월과 입금월이 다른 경우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미반영 매출 가능성이 있어 참고용으로만 활용하시기 바랍니다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</si>
  <si>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설비투자 </t>
    </r>
    <r>
      <rPr>
        <b val="true"/>
        <sz val="11"/>
        <rFont val="Arial"/>
        <family val="0"/>
        <charset val="1"/>
      </rPr>
      <t xml:space="preserve">(CAPEX) — </t>
    </r>
    <r>
      <rPr>
        <b val="true"/>
        <sz val="11"/>
        <rFont val="Noto Sans CJK SC"/>
        <family val="2"/>
      </rPr>
      <t xml:space="preserve">레벨링 라인 도입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영업비용에서 제외</t>
    </r>
  </si>
  <si>
    <t xml:space="preserve">거래일</t>
  </si>
  <si>
    <t xml:space="preserve">2025-09-08</t>
  </si>
  <si>
    <t xml:space="preserve">2025-11-06</t>
  </si>
  <si>
    <t xml:space="preserve">2025-12-04</t>
  </si>
  <si>
    <t xml:space="preserve">2025-12-31</t>
  </si>
  <si>
    <t xml:space="preserve">2026-01-30</t>
  </si>
  <si>
    <t xml:space="preserve">2026-07-06</t>
  </si>
  <si>
    <r>
      <rPr>
        <sz val="11"/>
        <rFont val="Noto Sans CJK SC"/>
        <family val="2"/>
      </rPr>
      <t xml:space="preserve">금성호이스트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점검외수리</t>
    </r>
    <r>
      <rPr>
        <sz val="11"/>
        <rFont val="Arial"/>
        <family val="0"/>
        <charset val="1"/>
      </rPr>
      <t xml:space="preserve">)</t>
    </r>
  </si>
  <si>
    <t xml:space="preserve">2026-07-20</t>
  </si>
  <si>
    <r>
      <rPr>
        <sz val="11"/>
        <rFont val="Noto Sans CJK SC"/>
        <family val="2"/>
      </rPr>
      <t xml:space="preserve">대홍엔지니어링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언코일러선금</t>
    </r>
    <r>
      <rPr>
        <sz val="11"/>
        <rFont val="Arial"/>
        <family val="0"/>
        <charset val="1"/>
      </rPr>
      <t xml:space="preserve">)</t>
    </r>
  </si>
  <si>
    <t xml:space="preserve">2026-08-26</t>
  </si>
  <si>
    <r>
      <rPr>
        <sz val="11"/>
        <rFont val="Noto Sans CJK SC"/>
        <family val="2"/>
      </rPr>
      <t xml:space="preserve">대홍엔지니어링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레베링기계잔금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</si>
  <si>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대표자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남은우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관련 확인 필요 항목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합계 </t>
    </r>
    <r>
      <rPr>
        <b val="true"/>
        <sz val="11"/>
        <rFont val="Arial"/>
        <family val="0"/>
        <charset val="1"/>
      </rPr>
      <t xml:space="preserve">100,816,970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</si>
  <si>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56,000,000</t>
    </r>
    <r>
      <rPr>
        <sz val="10"/>
        <rFont val="Noto Sans CJK SC"/>
        <family val="2"/>
      </rPr>
      <t xml:space="preserve">원 —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중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남은우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단일 거래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대액 출금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용도 확인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</si>
  <si>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24,000,000</t>
    </r>
    <r>
      <rPr>
        <sz val="10"/>
        <rFont val="Noto Sans CJK SC"/>
        <family val="2"/>
      </rPr>
      <t xml:space="preserve">원 — </t>
    </r>
    <r>
      <rPr>
        <sz val="10"/>
        <rFont val="Arial"/>
        <family val="0"/>
        <charset val="1"/>
      </rPr>
      <t xml:space="preserve">"n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남은우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형식의 정기적 출금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대표자 개인 정기적금으로 추정되나 확인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</si>
  <si>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20,816,970</t>
    </r>
    <r>
      <rPr>
        <sz val="10"/>
        <rFont val="Noto Sans CJK SC"/>
        <family val="2"/>
      </rPr>
      <t xml:space="preserve">원 —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남은우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단독 거래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급여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휴가비 패턴에 해당하지 않는</t>
    </r>
    <r>
      <rPr>
        <sz val="10"/>
        <rFont val="Arial"/>
        <family val="0"/>
        <charset val="1"/>
      </rPr>
      <t xml:space="preserve">) 4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용도 미상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</si>
  <si>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※ 위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개 항목은 급여로 단정하지 않고 별도 확인이 필요한 항목으로 분리 표기했습니다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회사 비용이 아닌 대표자 개인 자금 이동일 가능성이 있습니다</t>
    </r>
    <r>
      <rPr>
        <b val="true"/>
        <sz val="10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</si>
  <si>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세무서 환급 및 잡수익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영업외수익</t>
    </r>
    <r>
      <rPr>
        <b val="true"/>
        <sz val="11"/>
        <rFont val="Arial"/>
        <family val="0"/>
        <charset val="1"/>
      </rPr>
      <t xml:space="preserve">, P&amp;L </t>
    </r>
    <r>
      <rPr>
        <b val="true"/>
        <sz val="11"/>
        <rFont val="Noto Sans CJK SC"/>
        <family val="2"/>
      </rPr>
      <t xml:space="preserve">별도표기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</si>
  <si>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세무서 환급 추정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합계 </t>
    </r>
    <r>
      <rPr>
        <sz val="10"/>
        <rFont val="Arial"/>
        <family val="0"/>
        <charset val="1"/>
      </rPr>
      <t xml:space="preserve">31,808,560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안산세무서 </t>
    </r>
    <r>
      <rPr>
        <sz val="10"/>
        <rFont val="Arial"/>
        <family val="0"/>
        <charset val="1"/>
      </rPr>
      <t xml:space="preserve">31,036,360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26.02.10, </t>
    </r>
    <r>
      <rPr>
        <sz val="10"/>
        <rFont val="Noto Sans CJK SC"/>
        <family val="2"/>
      </rPr>
      <t xml:space="preserve">시흥세무서 </t>
    </r>
    <r>
      <rPr>
        <sz val="10"/>
        <rFont val="Arial"/>
        <family val="0"/>
        <charset val="1"/>
      </rPr>
      <t xml:space="preserve">731,970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26.06.17, </t>
    </r>
    <r>
      <rPr>
        <sz val="10"/>
        <rFont val="Noto Sans CJK SC"/>
        <family val="2"/>
      </rPr>
      <t xml:space="preserve">안산세무서 </t>
    </r>
    <r>
      <rPr>
        <sz val="10"/>
        <rFont val="Arial"/>
        <family val="0"/>
        <charset val="1"/>
      </rPr>
      <t xml:space="preserve">40,230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26.06.02) — </t>
    </r>
    <r>
      <rPr>
        <sz val="10"/>
        <rFont val="Noto Sans CJK SC"/>
        <family val="2"/>
      </rPr>
      <t xml:space="preserve">부가가치세 등 환급으로 추정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</si>
  <si>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잡수익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이자수익 </t>
    </r>
    <r>
      <rPr>
        <sz val="10"/>
        <rFont val="Arial"/>
        <family val="0"/>
        <charset val="1"/>
      </rPr>
      <t xml:space="preserve">54,437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잡수익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정부지원금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고용부</t>
    </r>
    <r>
      <rPr>
        <sz val="10"/>
        <rFont val="Arial"/>
        <family val="0"/>
        <charset val="1"/>
      </rPr>
      <t xml:space="preserve">) 4,672,440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잡수익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정부지원금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경기경제과학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경기테크노파크</t>
    </r>
    <r>
      <rPr>
        <sz val="10"/>
        <rFont val="Arial"/>
        <family val="0"/>
        <charset val="1"/>
      </rPr>
      <t xml:space="preserve">) 11,000,000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</si>
  <si>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거래처 집중도</t>
    </r>
  </si>
  <si>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태경스틸 통합 기준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연간 매출의 약 </t>
    </r>
    <r>
      <rPr>
        <sz val="10"/>
        <rFont val="Arial"/>
        <family val="0"/>
        <charset val="1"/>
      </rPr>
      <t xml:space="preserve">96.6%</t>
    </r>
    <r>
      <rPr>
        <sz val="10"/>
        <rFont val="Noto Sans CJK SC"/>
        <family val="2"/>
      </rPr>
      <t xml:space="preserve">를 차지하며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대한강재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개사가 </t>
    </r>
    <r>
      <rPr>
        <sz val="10"/>
        <rFont val="Arial"/>
        <family val="0"/>
        <charset val="1"/>
      </rPr>
      <t xml:space="preserve">60.3%(405,842,515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절대적 비중을 차지합니다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</si>
  <si>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이는 </t>
    </r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월 단월 기준</t>
    </r>
    <r>
      <rPr>
        <b val="true"/>
        <sz val="10"/>
        <rFont val="Arial"/>
        <family val="0"/>
        <charset val="1"/>
      </rPr>
      <t xml:space="preserve">(57.8%)</t>
    </r>
    <r>
      <rPr>
        <b val="true"/>
        <sz val="10"/>
        <rFont val="Noto Sans CJK SC"/>
        <family val="2"/>
      </rPr>
      <t xml:space="preserve">보다도 높은 수치로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연간으로 보면 특정 거래처 의존도가 더욱 뚜렷합니다</t>
    </r>
    <r>
      <rPr>
        <b val="true"/>
        <sz val="10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</si>
  <si>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기타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확인필요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일반 항목</t>
    </r>
  </si>
  <si>
    <r>
      <rPr>
        <sz val="10"/>
        <rFont val="Noto Sans CJK SC"/>
        <family val="2"/>
      </rPr>
      <t xml:space="preserve">적요만으로 계정과목 특정이 어려운 소액 거래 </t>
    </r>
    <r>
      <rPr>
        <sz val="10"/>
        <rFont val="Arial"/>
        <family val="0"/>
        <charset val="1"/>
      </rPr>
      <t xml:space="preserve">124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합계 </t>
    </r>
    <r>
      <rPr>
        <sz val="10"/>
        <rFont val="Arial"/>
        <family val="0"/>
        <charset val="1"/>
      </rPr>
      <t xml:space="preserve">27,215,210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연간 영업비용의 약 </t>
    </r>
    <r>
      <rPr>
        <sz val="10"/>
        <rFont val="Arial"/>
        <family val="0"/>
        <charset val="1"/>
      </rPr>
      <t xml:space="preserve">3.0%) — </t>
    </r>
    <r>
      <rPr>
        <sz val="10"/>
        <rFont val="Noto Sans CJK SC"/>
        <family val="2"/>
      </rPr>
      <t xml:space="preserve">비용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거래내역 시트 노란 셀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대부분 소액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회성 거래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</si>
  <si>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8. </t>
    </r>
    <r>
      <rPr>
        <b val="true"/>
        <sz val="11"/>
        <rFont val="Noto Sans CJK SC"/>
        <family val="2"/>
      </rPr>
      <t xml:space="preserve">스크랩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고철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매출 발견 — 손익에 큰 영향</t>
    </r>
  </si>
  <si>
    <r>
      <rPr>
        <sz val="10"/>
        <rFont val="Noto Sans CJK SC"/>
        <family val="2"/>
      </rPr>
      <t xml:space="preserve">우리은행 별도계좌</t>
    </r>
    <r>
      <rPr>
        <sz val="10"/>
        <rFont val="Arial"/>
        <family val="0"/>
        <charset val="1"/>
      </rPr>
      <t xml:space="preserve">(1005-203-068218)</t>
    </r>
    <r>
      <rPr>
        <sz val="10"/>
        <rFont val="Noto Sans CJK SC"/>
        <family val="2"/>
      </rPr>
      <t xml:space="preserve">에서 스크랩 매출 입금 내역을 확인했습니다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그동안 분석한 하나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우리 주계좌 어디에도 없던 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의 계좌입니다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연간 은행입금 합계 </t>
    </r>
    <r>
      <rPr>
        <sz val="10"/>
        <rFont val="Arial"/>
        <family val="0"/>
        <charset val="1"/>
      </rPr>
      <t xml:space="preserve">147,824,150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(30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월평균 약 </t>
    </r>
    <r>
      <rPr>
        <sz val="10"/>
        <rFont val="Arial"/>
        <family val="0"/>
        <charset val="1"/>
      </rPr>
      <t xml:space="preserve">12,318,679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</si>
  <si>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대표님 말씀에 따르면 이 계좌 입금 외에도 통장을 거치지 않는 현금 수입이 매월 약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연간 </t>
    </r>
    <r>
      <rPr>
        <sz val="10"/>
        <rFont val="Arial"/>
        <family val="0"/>
        <charset val="1"/>
      </rPr>
      <t xml:space="preserve">4,800</t>
    </r>
    <r>
      <rPr>
        <sz val="10"/>
        <rFont val="Noto Sans CJK SC"/>
        <family val="2"/>
      </rPr>
      <t xml:space="preserve">만원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추가로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이는 장부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계좌 근거가 없는 가정치입니다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</si>
  <si>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스크랩 매출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은행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현금가정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을 포함하면 연간 영업손익이 </t>
    </r>
    <r>
      <rPr>
        <b val="true"/>
        <sz val="10"/>
        <rFont val="Arial"/>
        <family val="0"/>
        <charset val="1"/>
      </rPr>
      <t xml:space="preserve">-222,706,845</t>
    </r>
    <r>
      <rPr>
        <b val="true"/>
        <sz val="10"/>
        <rFont val="Noto Sans CJK SC"/>
        <family val="2"/>
      </rPr>
      <t xml:space="preserve">원에서 약 </t>
    </r>
    <r>
      <rPr>
        <b val="true"/>
        <sz val="10"/>
        <rFont val="Arial"/>
        <family val="0"/>
        <charset val="1"/>
      </rPr>
      <t xml:space="preserve">-26,882,695</t>
    </r>
    <r>
      <rPr>
        <b val="true"/>
        <sz val="10"/>
        <rFont val="Noto Sans CJK SC"/>
        <family val="2"/>
      </rPr>
      <t xml:space="preserve">원으로 크게 개선됩니다</t>
    </r>
    <r>
      <rPr>
        <b val="true"/>
        <sz val="10"/>
        <rFont val="Arial"/>
        <family val="0"/>
        <charset val="1"/>
      </rPr>
      <t xml:space="preserve">. 12</t>
    </r>
    <r>
      <rPr>
        <b val="true"/>
        <sz val="10"/>
        <rFont val="Noto Sans CJK SC"/>
        <family val="2"/>
      </rPr>
      <t xml:space="preserve">개월 중 </t>
    </r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개월이 흑자로 전환됩니다</t>
    </r>
    <r>
      <rPr>
        <b val="true"/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</si>
  <si>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계좌에서 자사 주계좌로 이체된 내부이체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합계 </t>
    </r>
    <r>
      <rPr>
        <sz val="10"/>
        <rFont val="Arial"/>
        <family val="0"/>
        <charset val="1"/>
      </rPr>
      <t xml:space="preserve">119,000,000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이미 주계좌 쪽에서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계좌간 자금이체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로 제외 처리되어 있어 중복 계산되지 않았습니다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상세 내역은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매출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스크랩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시트 참고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</si>
</sst>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9"/>
      <color rgb="FFB45309"/>
      <name val="Noto Sans CJK SC"/>
      <family val="2"/>
    </font>
    <font>
      <i val="true"/>
      <sz val="9"/>
      <color rgb="FFB45309"/>
      <name val="Arial"/>
      <family val="0"/>
      <charset val="1"/>
    </font>
    <font>
      <sz val="11"/>
      <color theme="1"/>
      <name val="Noto Sans CJK SC"/>
      <family val="2"/>
    </font>
    <font>
      <b val="true"/>
      <i val="true"/>
      <sz val="9"/>
      <color rgb="FF6B7280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  <fill>
      <patternFill patternType="solid">
        <fgColor rgb="FFE5E7EB"/>
        <bgColor rgb="FFDBEAFE"/>
      </patternFill>
    </fill>
    <fill>
      <patternFill patternType="solid">
        <fgColor rgb="FFF3F4F6"/>
        <bgColor rgb="FFFFFFFF"/>
      </patternFill>
    </fill>
    <fill>
      <patternFill patternType="solid">
        <fgColor rgb="FFDBEAFE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3F4F6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월별 총매출(스크랩 포함) vs 영업비용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월별추이!E4</c:f>
              <c:strCache>
                <c:ptCount val="1"/>
                <c:pt idx="0">
                  <c:v>총매출(원)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25.09</c:v>
                </c:pt>
                <c:pt idx="1">
                  <c:v>25.10</c:v>
                </c:pt>
                <c:pt idx="2">
                  <c:v>25.11</c:v>
                </c:pt>
                <c:pt idx="3">
                  <c:v>25.12</c:v>
                </c:pt>
                <c:pt idx="4">
                  <c:v>26.01</c:v>
                </c:pt>
                <c:pt idx="5">
                  <c:v>26.02</c:v>
                </c:pt>
                <c:pt idx="6">
                  <c:v>26.03</c:v>
                </c:pt>
                <c:pt idx="7">
                  <c:v>26.04</c:v>
                </c:pt>
                <c:pt idx="8">
                  <c:v>26.05</c:v>
                </c:pt>
                <c:pt idx="9">
                  <c:v>26.06</c:v>
                </c:pt>
                <c:pt idx="10">
                  <c:v>26.07</c:v>
                </c:pt>
                <c:pt idx="11">
                  <c:v>26.08</c:v>
                </c:pt>
              </c:strCache>
            </c:strRef>
          </c:cat>
          <c:val>
            <c:numRef>
              <c:f>월별추이!$E$5:$E$16</c:f>
              <c:numCache>
                <c:formatCode>#,##0;\(#,##0\);\-</c:formatCode>
                <c:ptCount val="12"/>
                <c:pt idx="0">
                  <c:v>64975620</c:v>
                </c:pt>
                <c:pt idx="1">
                  <c:v>49932380</c:v>
                </c:pt>
                <c:pt idx="2">
                  <c:v>65859345</c:v>
                </c:pt>
                <c:pt idx="3">
                  <c:v>72295610</c:v>
                </c:pt>
                <c:pt idx="4">
                  <c:v>80711800</c:v>
                </c:pt>
                <c:pt idx="5">
                  <c:v>58514650</c:v>
                </c:pt>
                <c:pt idx="6">
                  <c:v>79263285</c:v>
                </c:pt>
                <c:pt idx="7">
                  <c:v>72145145</c:v>
                </c:pt>
                <c:pt idx="8">
                  <c:v>89872065</c:v>
                </c:pt>
                <c:pt idx="9">
                  <c:v>83638555</c:v>
                </c:pt>
                <c:pt idx="10">
                  <c:v>77029450</c:v>
                </c:pt>
                <c:pt idx="11">
                  <c:v>75045580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월별추이!F4</c:f>
              <c:strCache>
                <c:ptCount val="1"/>
                <c:pt idx="0">
                  <c:v>영업비용(원)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25.09</c:v>
                </c:pt>
                <c:pt idx="1">
                  <c:v>25.10</c:v>
                </c:pt>
                <c:pt idx="2">
                  <c:v>25.11</c:v>
                </c:pt>
                <c:pt idx="3">
                  <c:v>25.12</c:v>
                </c:pt>
                <c:pt idx="4">
                  <c:v>26.01</c:v>
                </c:pt>
                <c:pt idx="5">
                  <c:v>26.02</c:v>
                </c:pt>
                <c:pt idx="6">
                  <c:v>26.03</c:v>
                </c:pt>
                <c:pt idx="7">
                  <c:v>26.04</c:v>
                </c:pt>
                <c:pt idx="8">
                  <c:v>26.05</c:v>
                </c:pt>
                <c:pt idx="9">
                  <c:v>26.06</c:v>
                </c:pt>
                <c:pt idx="10">
                  <c:v>26.07</c:v>
                </c:pt>
                <c:pt idx="11">
                  <c:v>26.08</c:v>
                </c:pt>
              </c:strCache>
            </c:strRef>
          </c:cat>
          <c:val>
            <c:numRef>
              <c:f>월별추이!$F$5:$F$16</c:f>
              <c:numCache>
                <c:formatCode>#,##0;\(#,##0\);\-</c:formatCode>
                <c:ptCount val="12"/>
                <c:pt idx="0">
                  <c:v>88219750</c:v>
                </c:pt>
                <c:pt idx="1">
                  <c:v>86038027</c:v>
                </c:pt>
                <c:pt idx="2">
                  <c:v>62229684</c:v>
                </c:pt>
                <c:pt idx="3">
                  <c:v>67548210</c:v>
                </c:pt>
                <c:pt idx="4">
                  <c:v>70338524</c:v>
                </c:pt>
                <c:pt idx="5">
                  <c:v>82584837</c:v>
                </c:pt>
                <c:pt idx="6">
                  <c:v>70961860</c:v>
                </c:pt>
                <c:pt idx="7">
                  <c:v>63793546</c:v>
                </c:pt>
                <c:pt idx="8">
                  <c:v>59745896</c:v>
                </c:pt>
                <c:pt idx="9">
                  <c:v>76780449</c:v>
                </c:pt>
                <c:pt idx="10">
                  <c:v>94554314</c:v>
                </c:pt>
                <c:pt idx="11">
                  <c:v>73371083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011175"/>
        <c:axId val="84716670"/>
      </c:lineChart>
      <c:catAx>
        <c:axId val="43011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716670"/>
        <c:crosses val="autoZero"/>
        <c:auto val="1"/>
        <c:lblAlgn val="ctr"/>
        <c:lblOffset val="100"/>
        <c:noMultiLvlLbl val="0"/>
      </c:catAx>
      <c:valAx>
        <c:axId val="84716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0111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20</xdr:col>
      <xdr:colOff>581400</xdr:colOff>
      <xdr:row>21</xdr:row>
      <xdr:rowOff>143280</xdr:rowOff>
    </xdr:to>
    <xdr:graphicFrame>
      <xdr:nvGraphicFramePr>
        <xdr:cNvPr id="1" name="Chart 1"/>
        <xdr:cNvGraphicFramePr/>
      </xdr:nvGraphicFramePr>
      <xdr:xfrm>
        <a:off x="7518960" y="6552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4" t="n">
        <f aca="false">매출_ERP!B18</f>
        <v>673459335</v>
      </c>
    </row>
    <row r="5" customFormat="false" ht="17.15" hidden="false" customHeight="false" outlineLevel="0" collapsed="false">
      <c r="A5" s="3" t="s">
        <v>3</v>
      </c>
      <c r="B5" s="4" t="n">
        <f aca="false">매출_스크랩!B18</f>
        <v>147824150</v>
      </c>
    </row>
    <row r="6" customFormat="false" ht="17.15" hidden="false" customHeight="false" outlineLevel="0" collapsed="false">
      <c r="A6" s="3" t="s">
        <v>4</v>
      </c>
      <c r="B6" s="5" t="n">
        <f aca="false">매출_스크랩!C18</f>
        <v>48000000</v>
      </c>
    </row>
    <row r="7" customFormat="false" ht="17.15" hidden="false" customHeight="false" outlineLevel="0" collapsed="false">
      <c r="A7" s="6" t="s">
        <v>5</v>
      </c>
      <c r="B7" s="7" t="n">
        <f aca="false">B4+B5+B6</f>
        <v>869283485</v>
      </c>
    </row>
    <row r="8" customFormat="false" ht="17.15" hidden="false" customHeight="false" outlineLevel="0" collapsed="false">
      <c r="A8" s="3" t="s">
        <v>6</v>
      </c>
      <c r="B8" s="4" t="n">
        <f aca="false">비용_요약!B34</f>
        <v>896166180</v>
      </c>
    </row>
    <row r="9" customFormat="false" ht="17.15" hidden="false" customHeight="false" outlineLevel="0" collapsed="false">
      <c r="A9" s="6" t="s">
        <v>7</v>
      </c>
      <c r="B9" s="7" t="n">
        <f aca="false">B7-B8</f>
        <v>-26882695</v>
      </c>
    </row>
    <row r="10" customFormat="false" ht="15" hidden="false" customHeight="false" outlineLevel="0" collapsed="false">
      <c r="A10" s="2" t="s">
        <v>8</v>
      </c>
      <c r="B10" s="8" t="n">
        <f aca="false">B4-B8</f>
        <v>-222706845</v>
      </c>
    </row>
    <row r="12" customFormat="false" ht="17.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9" t="s">
        <v>10</v>
      </c>
    </row>
    <row r="14" customFormat="false" ht="15" hidden="false" customHeight="false" outlineLevel="0" collapsed="false">
      <c r="A14" s="9" t="s">
        <v>11</v>
      </c>
    </row>
    <row r="15" customFormat="false" ht="15" hidden="false" customHeight="false" outlineLevel="0" collapsed="false">
      <c r="A15" s="10" t="s">
        <v>12</v>
      </c>
    </row>
    <row r="17" customFormat="false" ht="17.15" hidden="false" customHeight="false" outlineLevel="0" collapsed="false">
      <c r="A17" s="6" t="s">
        <v>13</v>
      </c>
    </row>
    <row r="18" customFormat="false" ht="17.15" hidden="false" customHeight="false" outlineLevel="0" collapsed="false">
      <c r="A18" s="3" t="s">
        <v>14</v>
      </c>
      <c r="B18" s="11" t="n">
        <f aca="false">비용_요약!B38</f>
        <v>130530450</v>
      </c>
    </row>
    <row r="19" customFormat="false" ht="17.15" hidden="false" customHeight="false" outlineLevel="0" collapsed="false">
      <c r="A19" s="3" t="s">
        <v>15</v>
      </c>
      <c r="B19" s="11" t="n">
        <f aca="false">비용_요약!C39</f>
        <v>746320800</v>
      </c>
    </row>
    <row r="20" customFormat="false" ht="17.15" hidden="false" customHeight="false" outlineLevel="0" collapsed="false">
      <c r="A20" s="3" t="s">
        <v>16</v>
      </c>
      <c r="B20" s="11" t="n">
        <f aca="false">비용_요약!B53</f>
        <v>100816970</v>
      </c>
    </row>
    <row r="22" customFormat="false" ht="15" hidden="false" customHeight="false" outlineLevel="0" collapsed="false">
      <c r="A22" s="6" t="s">
        <v>17</v>
      </c>
    </row>
    <row r="23" customFormat="false" ht="15" hidden="false" customHeight="false" outlineLevel="0" collapsed="false">
      <c r="A23" s="12" t="s">
        <v>18</v>
      </c>
    </row>
    <row r="24" customFormat="false" ht="15" hidden="false" customHeight="false" outlineLevel="0" collapsed="false">
      <c r="A24" s="12" t="s">
        <v>19</v>
      </c>
    </row>
    <row r="25" customFormat="false" ht="15" hidden="false" customHeight="false" outlineLevel="0" collapsed="false">
      <c r="A25" s="12" t="s">
        <v>20</v>
      </c>
    </row>
    <row r="26" customFormat="false" ht="15" hidden="false" customHeight="false" outlineLevel="0" collapsed="false">
      <c r="A26" s="12" t="s">
        <v>21</v>
      </c>
    </row>
    <row r="27" customFormat="false" ht="15" hidden="false" customHeight="false" outlineLevel="0" collapsed="false">
      <c r="A27" s="12" t="s">
        <v>22</v>
      </c>
    </row>
    <row r="28" customFormat="false" ht="15" hidden="false" customHeight="false" outlineLevel="0" collapsed="false">
      <c r="A28" s="12" t="s">
        <v>23</v>
      </c>
    </row>
    <row r="29" customFormat="false" ht="15" hidden="false" customHeight="false" outlineLevel="0" collapsed="false">
      <c r="A29" s="12" t="s">
        <v>24</v>
      </c>
    </row>
    <row r="30" customFormat="false" ht="15" hidden="false" customHeight="false" outlineLevel="0" collapsed="false">
      <c r="A30" s="1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0"/>
  </cols>
  <sheetData>
    <row r="1" customFormat="false" ht="21.6" hidden="false" customHeight="false" outlineLevel="0" collapsed="false">
      <c r="A1" s="1" t="s">
        <v>26</v>
      </c>
    </row>
    <row r="2" customFormat="false" ht="15" hidden="false" customHeight="false" outlineLevel="0" collapsed="false">
      <c r="A2" s="13" t="s">
        <v>27</v>
      </c>
    </row>
    <row r="4" customFormat="false" ht="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14" t="s">
        <v>29</v>
      </c>
      <c r="B5" s="14" t="s">
        <v>30</v>
      </c>
    </row>
    <row r="6" customFormat="false" ht="15" hidden="false" customHeight="false" outlineLevel="0" collapsed="false">
      <c r="A6" s="15" t="s">
        <v>31</v>
      </c>
      <c r="B6" s="16" t="n">
        <v>47661820</v>
      </c>
    </row>
    <row r="7" customFormat="false" ht="15" hidden="false" customHeight="false" outlineLevel="0" collapsed="false">
      <c r="A7" s="15" t="s">
        <v>32</v>
      </c>
      <c r="B7" s="16" t="n">
        <v>37903580</v>
      </c>
    </row>
    <row r="8" customFormat="false" ht="15" hidden="false" customHeight="false" outlineLevel="0" collapsed="false">
      <c r="A8" s="15" t="s">
        <v>33</v>
      </c>
      <c r="B8" s="16" t="n">
        <v>50998845</v>
      </c>
    </row>
    <row r="9" customFormat="false" ht="15" hidden="false" customHeight="false" outlineLevel="0" collapsed="false">
      <c r="A9" s="15" t="s">
        <v>34</v>
      </c>
      <c r="B9" s="16" t="n">
        <v>57367410</v>
      </c>
    </row>
    <row r="10" customFormat="false" ht="15" hidden="false" customHeight="false" outlineLevel="0" collapsed="false">
      <c r="A10" s="15" t="s">
        <v>35</v>
      </c>
      <c r="B10" s="16" t="n">
        <v>60827800</v>
      </c>
    </row>
    <row r="11" customFormat="false" ht="15" hidden="false" customHeight="false" outlineLevel="0" collapsed="false">
      <c r="A11" s="15" t="s">
        <v>36</v>
      </c>
      <c r="B11" s="16" t="n">
        <v>48882650</v>
      </c>
    </row>
    <row r="12" customFormat="false" ht="15" hidden="false" customHeight="false" outlineLevel="0" collapsed="false">
      <c r="A12" s="15" t="s">
        <v>37</v>
      </c>
      <c r="B12" s="16" t="n">
        <v>66159085</v>
      </c>
    </row>
    <row r="13" customFormat="false" ht="15" hidden="false" customHeight="false" outlineLevel="0" collapsed="false">
      <c r="A13" s="15" t="s">
        <v>38</v>
      </c>
      <c r="B13" s="16" t="n">
        <v>58653145</v>
      </c>
    </row>
    <row r="14" customFormat="false" ht="15" hidden="false" customHeight="false" outlineLevel="0" collapsed="false">
      <c r="A14" s="15" t="s">
        <v>39</v>
      </c>
      <c r="B14" s="16" t="n">
        <v>67029165</v>
      </c>
    </row>
    <row r="15" customFormat="false" ht="15" hidden="false" customHeight="false" outlineLevel="0" collapsed="false">
      <c r="A15" s="15" t="s">
        <v>40</v>
      </c>
      <c r="B15" s="16" t="n">
        <v>65218555</v>
      </c>
    </row>
    <row r="16" customFormat="false" ht="15" hidden="false" customHeight="false" outlineLevel="0" collapsed="false">
      <c r="A16" s="15" t="s">
        <v>41</v>
      </c>
      <c r="B16" s="16" t="n">
        <v>57686650</v>
      </c>
    </row>
    <row r="17" customFormat="false" ht="15" hidden="false" customHeight="false" outlineLevel="0" collapsed="false">
      <c r="A17" s="15" t="s">
        <v>42</v>
      </c>
      <c r="B17" s="16" t="n">
        <v>55070630</v>
      </c>
    </row>
    <row r="18" customFormat="false" ht="15" hidden="false" customHeight="false" outlineLevel="0" collapsed="false">
      <c r="A18" s="17" t="s">
        <v>43</v>
      </c>
      <c r="B18" s="18" t="n">
        <f aca="false">SUM(B6:B17)</f>
        <v>673459335</v>
      </c>
    </row>
    <row r="20" customFormat="false" ht="17.15" hidden="false" customHeight="false" outlineLevel="0" collapsed="false">
      <c r="A20" s="6" t="s">
        <v>44</v>
      </c>
    </row>
    <row r="21" customFormat="false" ht="17.15" hidden="false" customHeight="false" outlineLevel="0" collapsed="false">
      <c r="A21" s="19" t="s">
        <v>45</v>
      </c>
      <c r="B21" s="19" t="s">
        <v>46</v>
      </c>
      <c r="C21" s="19" t="s">
        <v>47</v>
      </c>
      <c r="D21" s="19" t="s">
        <v>48</v>
      </c>
    </row>
    <row r="22" customFormat="false" ht="15" hidden="false" customHeight="false" outlineLevel="0" collapsed="false">
      <c r="A22" s="15" t="s">
        <v>49</v>
      </c>
      <c r="B22" s="16" t="n">
        <v>390797790</v>
      </c>
      <c r="C22" s="15" t="n">
        <v>2809</v>
      </c>
      <c r="D22" s="20" t="n">
        <v>0.580284168159908</v>
      </c>
    </row>
    <row r="23" customFormat="false" ht="15" hidden="false" customHeight="false" outlineLevel="0" collapsed="false">
      <c r="A23" s="15" t="s">
        <v>50</v>
      </c>
      <c r="B23" s="16" t="n">
        <v>180492290</v>
      </c>
      <c r="C23" s="15" t="n">
        <v>1040</v>
      </c>
      <c r="D23" s="20" t="n">
        <v>0.2680077038356</v>
      </c>
    </row>
    <row r="24" customFormat="false" ht="15" hidden="false" customHeight="false" outlineLevel="0" collapsed="false">
      <c r="A24" s="15" t="s">
        <v>51</v>
      </c>
      <c r="B24" s="16" t="n">
        <v>102169255</v>
      </c>
      <c r="C24" s="15" t="n">
        <v>223</v>
      </c>
      <c r="D24" s="20" t="n">
        <v>0.151708128004492</v>
      </c>
    </row>
    <row r="27" customFormat="false" ht="17.15" hidden="false" customHeight="false" outlineLevel="0" collapsed="false">
      <c r="A27" s="6" t="s">
        <v>52</v>
      </c>
    </row>
    <row r="28" customFormat="false" ht="17.15" hidden="false" customHeight="false" outlineLevel="0" collapsed="false">
      <c r="A28" s="19" t="s">
        <v>53</v>
      </c>
      <c r="B28" s="19" t="s">
        <v>46</v>
      </c>
      <c r="C28" s="19" t="s">
        <v>47</v>
      </c>
      <c r="D28" s="19" t="s">
        <v>48</v>
      </c>
    </row>
    <row r="29" customFormat="false" ht="17.15" hidden="false" customHeight="false" outlineLevel="0" collapsed="false">
      <c r="A29" s="15" t="s">
        <v>54</v>
      </c>
      <c r="B29" s="16" t="n">
        <v>405842515</v>
      </c>
      <c r="C29" s="15" t="n">
        <v>2824</v>
      </c>
      <c r="D29" s="20" t="n">
        <v>0.602623638738336</v>
      </c>
    </row>
    <row r="30" customFormat="false" ht="17.15" hidden="false" customHeight="false" outlineLevel="0" collapsed="false">
      <c r="A30" s="15" t="s">
        <v>55</v>
      </c>
      <c r="B30" s="16" t="n">
        <v>58459420</v>
      </c>
      <c r="C30" s="15" t="n">
        <v>397</v>
      </c>
      <c r="D30" s="20" t="n">
        <v>0.0868046769297511</v>
      </c>
    </row>
    <row r="31" customFormat="false" ht="17.15" hidden="false" customHeight="false" outlineLevel="0" collapsed="false">
      <c r="A31" s="21" t="s">
        <v>56</v>
      </c>
      <c r="B31" s="16" t="n">
        <v>37640475</v>
      </c>
      <c r="C31" s="21" t="n">
        <v>40</v>
      </c>
      <c r="D31" s="20" t="n">
        <v>0.0558912365510532</v>
      </c>
    </row>
    <row r="32" customFormat="false" ht="17.15" hidden="false" customHeight="false" outlineLevel="0" collapsed="false">
      <c r="A32" s="21" t="s">
        <v>57</v>
      </c>
      <c r="B32" s="16" t="n">
        <v>36846660</v>
      </c>
      <c r="C32" s="21" t="n">
        <v>202</v>
      </c>
      <c r="D32" s="20" t="n">
        <v>0.0547125239566246</v>
      </c>
    </row>
    <row r="33" customFormat="false" ht="17.15" hidden="false" customHeight="false" outlineLevel="0" collapsed="false">
      <c r="A33" s="15" t="s">
        <v>58</v>
      </c>
      <c r="B33" s="16" t="n">
        <v>25797350</v>
      </c>
      <c r="C33" s="21" t="n">
        <v>129</v>
      </c>
      <c r="D33" s="20" t="n">
        <v>0.0383057278432409</v>
      </c>
    </row>
    <row r="34" customFormat="false" ht="17.15" hidden="false" customHeight="false" outlineLevel="0" collapsed="false">
      <c r="A34" s="21" t="s">
        <v>59</v>
      </c>
      <c r="B34" s="16" t="n">
        <v>23663290</v>
      </c>
      <c r="C34" s="21" t="n">
        <v>84</v>
      </c>
      <c r="D34" s="20" t="n">
        <v>0.0351369247855181</v>
      </c>
    </row>
    <row r="35" customFormat="false" ht="17.15" hidden="false" customHeight="false" outlineLevel="0" collapsed="false">
      <c r="A35" s="21" t="s">
        <v>60</v>
      </c>
      <c r="B35" s="16" t="n">
        <v>18366420</v>
      </c>
      <c r="C35" s="21" t="n">
        <v>82</v>
      </c>
      <c r="D35" s="20" t="n">
        <v>0.0272717579896639</v>
      </c>
    </row>
    <row r="36" customFormat="false" ht="17.15" hidden="false" customHeight="false" outlineLevel="0" collapsed="false">
      <c r="A36" s="21" t="s">
        <v>61</v>
      </c>
      <c r="B36" s="16" t="n">
        <v>15779050</v>
      </c>
      <c r="C36" s="21" t="n">
        <v>89</v>
      </c>
      <c r="D36" s="20" t="n">
        <v>0.0234298482179329</v>
      </c>
    </row>
    <row r="37" customFormat="false" ht="17.15" hidden="false" customHeight="false" outlineLevel="0" collapsed="false">
      <c r="A37" s="15" t="s">
        <v>62</v>
      </c>
      <c r="B37" s="16" t="n">
        <v>5379950</v>
      </c>
      <c r="C37" s="21" t="n">
        <v>26</v>
      </c>
      <c r="D37" s="20" t="n">
        <v>0.00798852984939321</v>
      </c>
    </row>
    <row r="38" customFormat="false" ht="17.15" hidden="false" customHeight="false" outlineLevel="0" collapsed="false">
      <c r="A38" s="15" t="s">
        <v>63</v>
      </c>
      <c r="B38" s="16" t="n">
        <v>4649300</v>
      </c>
      <c r="C38" s="21" t="n">
        <v>15</v>
      </c>
      <c r="D38" s="20" t="n">
        <v>0.00690360910952404</v>
      </c>
    </row>
    <row r="39" customFormat="false" ht="17.15" hidden="false" customHeight="false" outlineLevel="0" collapsed="false">
      <c r="A39" s="15" t="s">
        <v>64</v>
      </c>
      <c r="B39" s="16" t="n">
        <v>4553310</v>
      </c>
      <c r="C39" s="21" t="n">
        <v>19</v>
      </c>
      <c r="D39" s="20" t="n">
        <v>0.00676107637590323</v>
      </c>
    </row>
    <row r="40" customFormat="false" ht="15" hidden="false" customHeight="false" outlineLevel="0" collapsed="false">
      <c r="A40" s="21" t="s">
        <v>65</v>
      </c>
      <c r="B40" s="16" t="n">
        <v>3643750</v>
      </c>
      <c r="C40" s="21" t="n">
        <v>15</v>
      </c>
      <c r="D40" s="20" t="n">
        <v>0.00541049742817805</v>
      </c>
    </row>
    <row r="41" customFormat="false" ht="17.15" hidden="false" customHeight="false" outlineLevel="0" collapsed="false">
      <c r="A41" s="15" t="s">
        <v>66</v>
      </c>
      <c r="B41" s="16" t="n">
        <v>3541350</v>
      </c>
      <c r="C41" s="21" t="n">
        <v>10</v>
      </c>
      <c r="D41" s="20" t="n">
        <v>0.0052584466736956</v>
      </c>
    </row>
    <row r="42" customFormat="false" ht="17.15" hidden="false" customHeight="false" outlineLevel="0" collapsed="false">
      <c r="A42" s="15" t="s">
        <v>67</v>
      </c>
      <c r="B42" s="16" t="n">
        <v>3243480</v>
      </c>
      <c r="C42" s="21" t="n">
        <v>15</v>
      </c>
      <c r="D42" s="20" t="n">
        <v>0.00481614825340568</v>
      </c>
    </row>
    <row r="43" customFormat="false" ht="17.15" hidden="false" customHeight="false" outlineLevel="0" collapsed="false">
      <c r="A43" s="15" t="s">
        <v>68</v>
      </c>
      <c r="B43" s="16" t="n">
        <v>3181150</v>
      </c>
      <c r="C43" s="21" t="n">
        <v>18</v>
      </c>
      <c r="D43" s="20" t="n">
        <v>0.00472359626583838</v>
      </c>
    </row>
    <row r="44" customFormat="false" ht="15" hidden="false" customHeight="false" outlineLevel="0" collapsed="false">
      <c r="A44" s="22" t="s">
        <v>69</v>
      </c>
      <c r="B44" s="23" t="n">
        <v>22871865</v>
      </c>
      <c r="C44" s="24"/>
      <c r="D44" s="25" t="n">
        <v>0.0339617610319412</v>
      </c>
    </row>
    <row r="45" customFormat="false" ht="15" hidden="false" customHeight="false" outlineLevel="0" collapsed="false">
      <c r="A45" s="17" t="s">
        <v>43</v>
      </c>
      <c r="B45" s="18" t="n">
        <v>673459335</v>
      </c>
    </row>
    <row r="47" customFormat="false" ht="15" hidden="false" customHeight="false" outlineLevel="0" collapsed="false">
      <c r="A47" s="26" t="s">
        <v>70</v>
      </c>
    </row>
    <row r="48" customFormat="false" ht="15" hidden="false" customHeight="false" outlineLevel="0" collapsed="false">
      <c r="A48" s="2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21.6" hidden="false" customHeight="false" outlineLevel="0" collapsed="false">
      <c r="A1" s="1" t="s">
        <v>72</v>
      </c>
    </row>
    <row r="2" customFormat="false" ht="15" hidden="false" customHeight="false" outlineLevel="0" collapsed="false">
      <c r="A2" s="13" t="s">
        <v>73</v>
      </c>
    </row>
    <row r="4" customFormat="false" ht="15" hidden="false" customHeight="false" outlineLevel="0" collapsed="false">
      <c r="A4" s="6" t="s">
        <v>74</v>
      </c>
    </row>
    <row r="5" customFormat="false" ht="17.15" hidden="false" customHeight="false" outlineLevel="0" collapsed="false">
      <c r="A5" s="14" t="s">
        <v>29</v>
      </c>
      <c r="B5" s="14" t="s">
        <v>75</v>
      </c>
      <c r="C5" s="14" t="s">
        <v>76</v>
      </c>
      <c r="D5" s="14" t="s">
        <v>43</v>
      </c>
    </row>
    <row r="6" customFormat="false" ht="15" hidden="false" customHeight="false" outlineLevel="0" collapsed="false">
      <c r="A6" s="15" t="s">
        <v>31</v>
      </c>
      <c r="B6" s="16" t="n">
        <v>13313800</v>
      </c>
      <c r="C6" s="27" t="n">
        <v>4000000</v>
      </c>
      <c r="D6" s="16" t="n">
        <f aca="false">B6+C6</f>
        <v>17313800</v>
      </c>
    </row>
    <row r="7" customFormat="false" ht="15" hidden="false" customHeight="false" outlineLevel="0" collapsed="false">
      <c r="A7" s="15" t="s">
        <v>32</v>
      </c>
      <c r="B7" s="16" t="n">
        <v>8028800</v>
      </c>
      <c r="C7" s="27" t="n">
        <v>4000000</v>
      </c>
      <c r="D7" s="16" t="n">
        <f aca="false">B7+C7</f>
        <v>12028800</v>
      </c>
    </row>
    <row r="8" customFormat="false" ht="15" hidden="false" customHeight="false" outlineLevel="0" collapsed="false">
      <c r="A8" s="15" t="s">
        <v>33</v>
      </c>
      <c r="B8" s="16" t="n">
        <v>10860500</v>
      </c>
      <c r="C8" s="27" t="n">
        <v>4000000</v>
      </c>
      <c r="D8" s="16" t="n">
        <f aca="false">B8+C8</f>
        <v>14860500</v>
      </c>
    </row>
    <row r="9" customFormat="false" ht="15" hidden="false" customHeight="false" outlineLevel="0" collapsed="false">
      <c r="A9" s="15" t="s">
        <v>34</v>
      </c>
      <c r="B9" s="16" t="n">
        <v>10928200</v>
      </c>
      <c r="C9" s="27" t="n">
        <v>4000000</v>
      </c>
      <c r="D9" s="16" t="n">
        <f aca="false">B9+C9</f>
        <v>14928200</v>
      </c>
    </row>
    <row r="10" customFormat="false" ht="15" hidden="false" customHeight="false" outlineLevel="0" collapsed="false">
      <c r="A10" s="15" t="s">
        <v>35</v>
      </c>
      <c r="B10" s="16" t="n">
        <v>15884000</v>
      </c>
      <c r="C10" s="27" t="n">
        <v>4000000</v>
      </c>
      <c r="D10" s="16" t="n">
        <f aca="false">B10+C10</f>
        <v>19884000</v>
      </c>
    </row>
    <row r="11" customFormat="false" ht="15" hidden="false" customHeight="false" outlineLevel="0" collapsed="false">
      <c r="A11" s="15" t="s">
        <v>36</v>
      </c>
      <c r="B11" s="16" t="n">
        <v>5632000</v>
      </c>
      <c r="C11" s="27" t="n">
        <v>4000000</v>
      </c>
      <c r="D11" s="16" t="n">
        <f aca="false">B11+C11</f>
        <v>9632000</v>
      </c>
    </row>
    <row r="12" customFormat="false" ht="15" hidden="false" customHeight="false" outlineLevel="0" collapsed="false">
      <c r="A12" s="15" t="s">
        <v>37</v>
      </c>
      <c r="B12" s="16" t="n">
        <v>9104200</v>
      </c>
      <c r="C12" s="27" t="n">
        <v>4000000</v>
      </c>
      <c r="D12" s="16" t="n">
        <f aca="false">B12+C12</f>
        <v>13104200</v>
      </c>
    </row>
    <row r="13" customFormat="false" ht="15" hidden="false" customHeight="false" outlineLevel="0" collapsed="false">
      <c r="A13" s="15" t="s">
        <v>38</v>
      </c>
      <c r="B13" s="16" t="n">
        <v>9492000</v>
      </c>
      <c r="C13" s="27" t="n">
        <v>4000000</v>
      </c>
      <c r="D13" s="16" t="n">
        <f aca="false">B13+C13</f>
        <v>13492000</v>
      </c>
    </row>
    <row r="14" customFormat="false" ht="15" hidden="false" customHeight="false" outlineLevel="0" collapsed="false">
      <c r="A14" s="15" t="s">
        <v>39</v>
      </c>
      <c r="B14" s="16" t="n">
        <v>18842900</v>
      </c>
      <c r="C14" s="27" t="n">
        <v>4000000</v>
      </c>
      <c r="D14" s="16" t="n">
        <f aca="false">B14+C14</f>
        <v>22842900</v>
      </c>
    </row>
    <row r="15" customFormat="false" ht="15" hidden="false" customHeight="false" outlineLevel="0" collapsed="false">
      <c r="A15" s="15" t="s">
        <v>40</v>
      </c>
      <c r="B15" s="16" t="n">
        <v>14420000</v>
      </c>
      <c r="C15" s="27" t="n">
        <v>4000000</v>
      </c>
      <c r="D15" s="16" t="n">
        <f aca="false">B15+C15</f>
        <v>18420000</v>
      </c>
    </row>
    <row r="16" customFormat="false" ht="15" hidden="false" customHeight="false" outlineLevel="0" collapsed="false">
      <c r="A16" s="15" t="s">
        <v>41</v>
      </c>
      <c r="B16" s="16" t="n">
        <v>15342800</v>
      </c>
      <c r="C16" s="27" t="n">
        <v>4000000</v>
      </c>
      <c r="D16" s="16" t="n">
        <f aca="false">B16+C16</f>
        <v>19342800</v>
      </c>
    </row>
    <row r="17" customFormat="false" ht="15" hidden="false" customHeight="false" outlineLevel="0" collapsed="false">
      <c r="A17" s="15" t="s">
        <v>42</v>
      </c>
      <c r="B17" s="16" t="n">
        <v>15974950</v>
      </c>
      <c r="C17" s="27" t="n">
        <v>4000000</v>
      </c>
      <c r="D17" s="16" t="n">
        <f aca="false">B17+C17</f>
        <v>19974950</v>
      </c>
    </row>
    <row r="18" customFormat="false" ht="15" hidden="false" customHeight="false" outlineLevel="0" collapsed="false">
      <c r="A18" s="17" t="s">
        <v>43</v>
      </c>
      <c r="B18" s="18" t="n">
        <f aca="false">SUM(B6:B17)</f>
        <v>147824150</v>
      </c>
      <c r="C18" s="18" t="n">
        <f aca="false">SUM(C6:C17)</f>
        <v>48000000</v>
      </c>
      <c r="D18" s="18" t="n">
        <f aca="false">SUM(D6:D17)</f>
        <v>195824150</v>
      </c>
    </row>
    <row r="20" customFormat="false" ht="15" hidden="false" customHeight="false" outlineLevel="0" collapsed="false">
      <c r="A20" s="28" t="s">
        <v>77</v>
      </c>
    </row>
    <row r="22" customFormat="false" ht="17.15" hidden="false" customHeight="false" outlineLevel="0" collapsed="false">
      <c r="A22" s="6" t="s">
        <v>78</v>
      </c>
    </row>
    <row r="23" customFormat="false" ht="15" hidden="false" customHeight="false" outlineLevel="0" collapsed="false">
      <c r="A23" s="19" t="s">
        <v>79</v>
      </c>
      <c r="B23" s="19" t="s">
        <v>80</v>
      </c>
      <c r="C23" s="19" t="s">
        <v>81</v>
      </c>
      <c r="D23" s="19" t="s">
        <v>82</v>
      </c>
    </row>
    <row r="24" customFormat="false" ht="15" hidden="false" customHeight="false" outlineLevel="0" collapsed="false">
      <c r="A24" s="15" t="s">
        <v>83</v>
      </c>
      <c r="B24" s="21" t="s">
        <v>84</v>
      </c>
      <c r="C24" s="21" t="s">
        <v>85</v>
      </c>
      <c r="D24" s="16" t="n">
        <v>4687900</v>
      </c>
    </row>
    <row r="25" customFormat="false" ht="15" hidden="false" customHeight="false" outlineLevel="0" collapsed="false">
      <c r="A25" s="15" t="s">
        <v>86</v>
      </c>
      <c r="B25" s="21" t="s">
        <v>84</v>
      </c>
      <c r="C25" s="21" t="s">
        <v>85</v>
      </c>
      <c r="D25" s="16" t="n">
        <v>3186300</v>
      </c>
    </row>
    <row r="26" customFormat="false" ht="15" hidden="false" customHeight="false" outlineLevel="0" collapsed="false">
      <c r="A26" s="29" t="s">
        <v>87</v>
      </c>
      <c r="B26" s="30" t="s">
        <v>88</v>
      </c>
      <c r="C26" s="30" t="s">
        <v>89</v>
      </c>
      <c r="D26" s="31" t="n">
        <v>2658</v>
      </c>
    </row>
    <row r="27" customFormat="false" ht="15" hidden="false" customHeight="false" outlineLevel="0" collapsed="false">
      <c r="A27" s="15" t="s">
        <v>90</v>
      </c>
      <c r="B27" s="21" t="s">
        <v>84</v>
      </c>
      <c r="C27" s="21" t="s">
        <v>85</v>
      </c>
      <c r="D27" s="16" t="n">
        <v>5439600</v>
      </c>
    </row>
    <row r="28" customFormat="false" ht="15" hidden="false" customHeight="false" outlineLevel="0" collapsed="false">
      <c r="A28" s="15" t="s">
        <v>91</v>
      </c>
      <c r="B28" s="21" t="s">
        <v>84</v>
      </c>
      <c r="C28" s="21" t="s">
        <v>85</v>
      </c>
      <c r="D28" s="16" t="n">
        <v>8028800</v>
      </c>
    </row>
    <row r="29" customFormat="false" ht="15" hidden="false" customHeight="false" outlineLevel="0" collapsed="false">
      <c r="A29" s="15" t="s">
        <v>92</v>
      </c>
      <c r="B29" s="21" t="s">
        <v>84</v>
      </c>
      <c r="C29" s="21" t="s">
        <v>85</v>
      </c>
      <c r="D29" s="16" t="n">
        <v>3647000</v>
      </c>
    </row>
    <row r="30" customFormat="false" ht="15" hidden="false" customHeight="false" outlineLevel="0" collapsed="false">
      <c r="A30" s="15" t="s">
        <v>93</v>
      </c>
      <c r="B30" s="21" t="s">
        <v>84</v>
      </c>
      <c r="C30" s="21" t="s">
        <v>85</v>
      </c>
      <c r="D30" s="16" t="n">
        <v>3976000</v>
      </c>
    </row>
    <row r="31" customFormat="false" ht="15" hidden="false" customHeight="false" outlineLevel="0" collapsed="false">
      <c r="A31" s="15" t="s">
        <v>94</v>
      </c>
      <c r="B31" s="21" t="s">
        <v>84</v>
      </c>
      <c r="C31" s="21" t="s">
        <v>85</v>
      </c>
      <c r="D31" s="16" t="n">
        <v>3237500</v>
      </c>
    </row>
    <row r="32" customFormat="false" ht="15" hidden="false" customHeight="false" outlineLevel="0" collapsed="false">
      <c r="A32" s="15" t="s">
        <v>95</v>
      </c>
      <c r="B32" s="21" t="s">
        <v>84</v>
      </c>
      <c r="C32" s="21" t="s">
        <v>85</v>
      </c>
      <c r="D32" s="16" t="n">
        <v>3913000</v>
      </c>
    </row>
    <row r="33" customFormat="false" ht="15" hidden="false" customHeight="false" outlineLevel="0" collapsed="false">
      <c r="A33" s="29" t="s">
        <v>96</v>
      </c>
      <c r="B33" s="30" t="s">
        <v>88</v>
      </c>
      <c r="C33" s="30" t="s">
        <v>89</v>
      </c>
      <c r="D33" s="31" t="n">
        <v>1560</v>
      </c>
    </row>
    <row r="34" customFormat="false" ht="15" hidden="false" customHeight="false" outlineLevel="0" collapsed="false">
      <c r="A34" s="15" t="s">
        <v>97</v>
      </c>
      <c r="B34" s="21" t="s">
        <v>84</v>
      </c>
      <c r="C34" s="21" t="s">
        <v>85</v>
      </c>
      <c r="D34" s="16" t="n">
        <v>3000700</v>
      </c>
    </row>
    <row r="35" customFormat="false" ht="15" hidden="false" customHeight="false" outlineLevel="0" collapsed="false">
      <c r="A35" s="15" t="s">
        <v>98</v>
      </c>
      <c r="B35" s="21" t="s">
        <v>84</v>
      </c>
      <c r="C35" s="21" t="s">
        <v>85</v>
      </c>
      <c r="D35" s="16" t="n">
        <v>4014500</v>
      </c>
    </row>
    <row r="36" customFormat="false" ht="15" hidden="false" customHeight="false" outlineLevel="0" collapsed="false">
      <c r="A36" s="15" t="s">
        <v>99</v>
      </c>
      <c r="B36" s="21" t="s">
        <v>84</v>
      </c>
      <c r="C36" s="21" t="s">
        <v>85</v>
      </c>
      <c r="D36" s="16" t="n">
        <v>4330800</v>
      </c>
    </row>
    <row r="37" customFormat="false" ht="15" hidden="false" customHeight="false" outlineLevel="0" collapsed="false">
      <c r="A37" s="15" t="s">
        <v>100</v>
      </c>
      <c r="B37" s="21" t="s">
        <v>84</v>
      </c>
      <c r="C37" s="21" t="s">
        <v>85</v>
      </c>
      <c r="D37" s="16" t="n">
        <v>3769500</v>
      </c>
    </row>
    <row r="38" customFormat="false" ht="15" hidden="false" customHeight="false" outlineLevel="0" collapsed="false">
      <c r="A38" s="15" t="s">
        <v>101</v>
      </c>
      <c r="B38" s="21" t="s">
        <v>84</v>
      </c>
      <c r="C38" s="21" t="s">
        <v>85</v>
      </c>
      <c r="D38" s="16" t="n">
        <v>3888700</v>
      </c>
    </row>
    <row r="39" customFormat="false" ht="15" hidden="false" customHeight="false" outlineLevel="0" collapsed="false">
      <c r="A39" s="15" t="s">
        <v>102</v>
      </c>
      <c r="B39" s="21" t="s">
        <v>84</v>
      </c>
      <c r="C39" s="21" t="s">
        <v>85</v>
      </c>
      <c r="D39" s="16" t="n">
        <v>3895000</v>
      </c>
    </row>
    <row r="40" customFormat="false" ht="15" hidden="false" customHeight="false" outlineLevel="0" collapsed="false">
      <c r="A40" s="15" t="s">
        <v>103</v>
      </c>
      <c r="B40" s="21" t="s">
        <v>84</v>
      </c>
      <c r="C40" s="21" t="s">
        <v>85</v>
      </c>
      <c r="D40" s="16" t="n">
        <v>5632000</v>
      </c>
    </row>
    <row r="41" customFormat="false" ht="15" hidden="false" customHeight="false" outlineLevel="0" collapsed="false">
      <c r="A41" s="15" t="s">
        <v>104</v>
      </c>
      <c r="B41" s="21" t="s">
        <v>84</v>
      </c>
      <c r="C41" s="21" t="s">
        <v>85</v>
      </c>
      <c r="D41" s="16" t="n">
        <v>4768000</v>
      </c>
    </row>
    <row r="42" customFormat="false" ht="15" hidden="false" customHeight="false" outlineLevel="0" collapsed="false">
      <c r="A42" s="15" t="s">
        <v>105</v>
      </c>
      <c r="B42" s="21" t="s">
        <v>84</v>
      </c>
      <c r="C42" s="21" t="s">
        <v>85</v>
      </c>
      <c r="D42" s="16" t="n">
        <v>4336200</v>
      </c>
    </row>
    <row r="43" customFormat="false" ht="15" hidden="false" customHeight="false" outlineLevel="0" collapsed="false">
      <c r="A43" s="29" t="s">
        <v>106</v>
      </c>
      <c r="B43" s="30" t="s">
        <v>88</v>
      </c>
      <c r="C43" s="30" t="s">
        <v>89</v>
      </c>
      <c r="D43" s="31" t="n">
        <v>632</v>
      </c>
    </row>
    <row r="44" customFormat="false" ht="15" hidden="false" customHeight="false" outlineLevel="0" collapsed="false">
      <c r="A44" s="15" t="s">
        <v>107</v>
      </c>
      <c r="B44" s="21" t="s">
        <v>84</v>
      </c>
      <c r="C44" s="21" t="s">
        <v>85</v>
      </c>
      <c r="D44" s="16" t="n">
        <v>5124000</v>
      </c>
    </row>
    <row r="45" customFormat="false" ht="15" hidden="false" customHeight="false" outlineLevel="0" collapsed="false">
      <c r="A45" s="15" t="s">
        <v>108</v>
      </c>
      <c r="B45" s="21" t="s">
        <v>84</v>
      </c>
      <c r="C45" s="21" t="s">
        <v>85</v>
      </c>
      <c r="D45" s="16" t="n">
        <v>4368000</v>
      </c>
    </row>
    <row r="46" customFormat="false" ht="15" hidden="false" customHeight="false" outlineLevel="0" collapsed="false">
      <c r="A46" s="15" t="s">
        <v>109</v>
      </c>
      <c r="B46" s="21" t="s">
        <v>84</v>
      </c>
      <c r="C46" s="21" t="s">
        <v>85</v>
      </c>
      <c r="D46" s="16" t="n">
        <v>9285500</v>
      </c>
    </row>
    <row r="47" customFormat="false" ht="15" hidden="false" customHeight="false" outlineLevel="0" collapsed="false">
      <c r="A47" s="15" t="s">
        <v>110</v>
      </c>
      <c r="B47" s="21" t="s">
        <v>84</v>
      </c>
      <c r="C47" s="21" t="s">
        <v>85</v>
      </c>
      <c r="D47" s="16" t="n">
        <v>5506200</v>
      </c>
    </row>
    <row r="48" customFormat="false" ht="15" hidden="false" customHeight="false" outlineLevel="0" collapsed="false">
      <c r="A48" s="15" t="s">
        <v>111</v>
      </c>
      <c r="B48" s="21" t="s">
        <v>84</v>
      </c>
      <c r="C48" s="21" t="s">
        <v>85</v>
      </c>
      <c r="D48" s="16" t="n">
        <v>4051200</v>
      </c>
    </row>
    <row r="49" customFormat="false" ht="15" hidden="false" customHeight="false" outlineLevel="0" collapsed="false">
      <c r="A49" s="15" t="s">
        <v>112</v>
      </c>
      <c r="B49" s="21" t="s">
        <v>84</v>
      </c>
      <c r="C49" s="21" t="s">
        <v>85</v>
      </c>
      <c r="D49" s="16" t="n">
        <v>5240500</v>
      </c>
    </row>
    <row r="50" customFormat="false" ht="15" hidden="false" customHeight="false" outlineLevel="0" collapsed="false">
      <c r="A50" s="29" t="s">
        <v>113</v>
      </c>
      <c r="B50" s="30" t="s">
        <v>88</v>
      </c>
      <c r="C50" s="30" t="s">
        <v>89</v>
      </c>
      <c r="D50" s="31" t="n">
        <v>4521</v>
      </c>
    </row>
    <row r="51" customFormat="false" ht="15" hidden="false" customHeight="false" outlineLevel="0" collapsed="false">
      <c r="A51" s="15" t="s">
        <v>114</v>
      </c>
      <c r="B51" s="21" t="s">
        <v>84</v>
      </c>
      <c r="C51" s="21" t="s">
        <v>85</v>
      </c>
      <c r="D51" s="16" t="n">
        <v>9179500</v>
      </c>
    </row>
    <row r="52" customFormat="false" ht="15" hidden="false" customHeight="false" outlineLevel="0" collapsed="false">
      <c r="A52" s="15" t="s">
        <v>115</v>
      </c>
      <c r="B52" s="21" t="s">
        <v>84</v>
      </c>
      <c r="C52" s="21" t="s">
        <v>85</v>
      </c>
      <c r="D52" s="16" t="n">
        <v>6081800</v>
      </c>
    </row>
    <row r="53" customFormat="false" ht="15" hidden="false" customHeight="false" outlineLevel="0" collapsed="false">
      <c r="A53" s="15" t="s">
        <v>116</v>
      </c>
      <c r="B53" s="21" t="s">
        <v>84</v>
      </c>
      <c r="C53" s="21" t="s">
        <v>85</v>
      </c>
      <c r="D53" s="16" t="n">
        <v>6218100</v>
      </c>
    </row>
    <row r="54" customFormat="false" ht="15" hidden="false" customHeight="false" outlineLevel="0" collapsed="false">
      <c r="A54" s="15" t="s">
        <v>117</v>
      </c>
      <c r="B54" s="21" t="s">
        <v>84</v>
      </c>
      <c r="C54" s="21" t="s">
        <v>85</v>
      </c>
      <c r="D54" s="16" t="n">
        <v>3042900</v>
      </c>
    </row>
    <row r="55" customFormat="false" ht="15" hidden="false" customHeight="false" outlineLevel="0" collapsed="false">
      <c r="A55" s="15" t="s">
        <v>118</v>
      </c>
      <c r="B55" s="21" t="s">
        <v>84</v>
      </c>
      <c r="C55" s="21" t="s">
        <v>85</v>
      </c>
      <c r="D55" s="16" t="n">
        <v>8457300</v>
      </c>
    </row>
    <row r="56" customFormat="false" ht="15" hidden="false" customHeight="false" outlineLevel="0" collapsed="false">
      <c r="A56" s="15" t="s">
        <v>119</v>
      </c>
      <c r="B56" s="21" t="s">
        <v>84</v>
      </c>
      <c r="C56" s="21" t="s">
        <v>85</v>
      </c>
      <c r="D56" s="16" t="n">
        <v>417100</v>
      </c>
    </row>
    <row r="57" customFormat="false" ht="15" hidden="false" customHeight="false" outlineLevel="0" collapsed="false">
      <c r="A57" s="15" t="s">
        <v>120</v>
      </c>
      <c r="B57" s="21" t="s">
        <v>84</v>
      </c>
      <c r="C57" s="21" t="s">
        <v>85</v>
      </c>
      <c r="D57" s="16" t="n">
        <v>7100550</v>
      </c>
    </row>
    <row r="58" customFormat="false" ht="17.15" hidden="false" customHeight="false" outlineLevel="0" collapsed="false">
      <c r="C58" s="17" t="s">
        <v>121</v>
      </c>
      <c r="D58" s="18" t="n">
        <f aca="false">SUM(D24:D57)</f>
        <v>147833521</v>
      </c>
    </row>
    <row r="60" customFormat="false" ht="15" hidden="false" customHeight="false" outlineLevel="0" collapsed="false">
      <c r="A60" s="26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7" min="5" style="0" width="12"/>
    <col collapsed="false" customWidth="true" hidden="false" outlineLevel="0" max="8" min="8" style="0" width="30"/>
  </cols>
  <sheetData>
    <row r="1" customFormat="false" ht="21.6" hidden="false" customHeight="false" outlineLevel="0" collapsed="false">
      <c r="A1" s="32" t="s">
        <v>123</v>
      </c>
    </row>
    <row r="2" customFormat="false" ht="15" hidden="false" customHeight="false" outlineLevel="0" collapsed="false">
      <c r="A2" s="13" t="s">
        <v>124</v>
      </c>
    </row>
    <row r="4" customFormat="false" ht="15" hidden="false" customHeight="false" outlineLevel="0" collapsed="false">
      <c r="A4" s="14" t="s">
        <v>125</v>
      </c>
      <c r="B4" s="14" t="s">
        <v>79</v>
      </c>
      <c r="C4" s="14" t="s">
        <v>80</v>
      </c>
      <c r="D4" s="14" t="s">
        <v>81</v>
      </c>
      <c r="E4" s="14" t="s">
        <v>126</v>
      </c>
      <c r="F4" s="14" t="s">
        <v>82</v>
      </c>
      <c r="G4" s="14" t="s">
        <v>127</v>
      </c>
      <c r="H4" s="14" t="s">
        <v>128</v>
      </c>
    </row>
    <row r="5" customFormat="false" ht="17.15" hidden="false" customHeight="false" outlineLevel="0" collapsed="false">
      <c r="A5" s="30" t="s">
        <v>129</v>
      </c>
      <c r="B5" s="29" t="s">
        <v>130</v>
      </c>
      <c r="C5" s="30" t="s">
        <v>131</v>
      </c>
      <c r="D5" s="29" t="s">
        <v>55</v>
      </c>
      <c r="E5" s="33" t="n">
        <v>0</v>
      </c>
      <c r="F5" s="33" t="n">
        <v>4311934</v>
      </c>
      <c r="G5" s="33" t="n">
        <v>64516597</v>
      </c>
      <c r="H5" s="34" t="s">
        <v>132</v>
      </c>
    </row>
    <row r="6" customFormat="false" ht="17.15" hidden="false" customHeight="false" outlineLevel="0" collapsed="false">
      <c r="A6" s="30" t="s">
        <v>129</v>
      </c>
      <c r="B6" s="29" t="s">
        <v>133</v>
      </c>
      <c r="C6" s="30" t="s">
        <v>131</v>
      </c>
      <c r="D6" s="29" t="s">
        <v>134</v>
      </c>
      <c r="E6" s="33" t="n">
        <v>0</v>
      </c>
      <c r="F6" s="33" t="n">
        <v>192500</v>
      </c>
      <c r="G6" s="33" t="n">
        <v>60204663</v>
      </c>
      <c r="H6" s="34" t="s">
        <v>132</v>
      </c>
    </row>
    <row r="7" customFormat="false" ht="17.15" hidden="false" customHeight="false" outlineLevel="0" collapsed="false">
      <c r="A7" s="21" t="s">
        <v>129</v>
      </c>
      <c r="B7" s="15" t="s">
        <v>135</v>
      </c>
      <c r="C7" s="21" t="s">
        <v>136</v>
      </c>
      <c r="D7" s="21" t="s">
        <v>137</v>
      </c>
      <c r="E7" s="35" t="n">
        <v>200000</v>
      </c>
      <c r="F7" s="35" t="n">
        <v>0</v>
      </c>
      <c r="G7" s="35" t="n">
        <v>60012163</v>
      </c>
      <c r="H7" s="36" t="s">
        <v>138</v>
      </c>
    </row>
    <row r="8" customFormat="false" ht="17.15" hidden="false" customHeight="false" outlineLevel="0" collapsed="false">
      <c r="A8" s="21" t="s">
        <v>129</v>
      </c>
      <c r="B8" s="15" t="s">
        <v>139</v>
      </c>
      <c r="C8" s="21" t="s">
        <v>136</v>
      </c>
      <c r="D8" s="21" t="s">
        <v>140</v>
      </c>
      <c r="E8" s="35" t="n">
        <v>1265880</v>
      </c>
      <c r="F8" s="35" t="n">
        <v>0</v>
      </c>
      <c r="G8" s="35" t="n">
        <v>60212163</v>
      </c>
      <c r="H8" s="36" t="s">
        <v>141</v>
      </c>
    </row>
    <row r="9" customFormat="false" ht="17.15" hidden="false" customHeight="false" outlineLevel="0" collapsed="false">
      <c r="A9" s="21" t="s">
        <v>129</v>
      </c>
      <c r="B9" s="15" t="s">
        <v>142</v>
      </c>
      <c r="C9" s="21" t="s">
        <v>143</v>
      </c>
      <c r="D9" s="21" t="s">
        <v>144</v>
      </c>
      <c r="E9" s="35" t="n">
        <v>1694550</v>
      </c>
      <c r="F9" s="35" t="n">
        <v>0</v>
      </c>
      <c r="G9" s="35" t="n">
        <v>61478043</v>
      </c>
      <c r="H9" s="36" t="s">
        <v>145</v>
      </c>
    </row>
    <row r="10" customFormat="false" ht="17.15" hidden="false" customHeight="false" outlineLevel="0" collapsed="false">
      <c r="A10" s="21" t="s">
        <v>129</v>
      </c>
      <c r="B10" s="15" t="s">
        <v>146</v>
      </c>
      <c r="C10" s="21" t="s">
        <v>147</v>
      </c>
      <c r="D10" s="21" t="s">
        <v>148</v>
      </c>
      <c r="E10" s="35" t="n">
        <v>330000</v>
      </c>
      <c r="F10" s="35" t="n">
        <v>0</v>
      </c>
      <c r="G10" s="35" t="n">
        <v>63172593</v>
      </c>
      <c r="H10" s="36" t="s">
        <v>149</v>
      </c>
    </row>
    <row r="11" customFormat="false" ht="17.15" hidden="false" customHeight="false" outlineLevel="0" collapsed="false">
      <c r="A11" s="30" t="s">
        <v>129</v>
      </c>
      <c r="B11" s="29" t="s">
        <v>150</v>
      </c>
      <c r="C11" s="30" t="s">
        <v>131</v>
      </c>
      <c r="D11" s="29" t="s">
        <v>151</v>
      </c>
      <c r="E11" s="33" t="n">
        <v>0</v>
      </c>
      <c r="F11" s="33" t="n">
        <v>849200</v>
      </c>
      <c r="G11" s="33" t="n">
        <v>63502593</v>
      </c>
      <c r="H11" s="34" t="s">
        <v>132</v>
      </c>
    </row>
    <row r="12" customFormat="false" ht="17.15" hidden="false" customHeight="false" outlineLevel="0" collapsed="false">
      <c r="A12" s="30" t="s">
        <v>129</v>
      </c>
      <c r="B12" s="29" t="s">
        <v>152</v>
      </c>
      <c r="C12" s="30" t="s">
        <v>131</v>
      </c>
      <c r="D12" s="30" t="s">
        <v>153</v>
      </c>
      <c r="E12" s="33" t="n">
        <v>0</v>
      </c>
      <c r="F12" s="33" t="n">
        <v>234960</v>
      </c>
      <c r="G12" s="33" t="n">
        <v>62653393</v>
      </c>
      <c r="H12" s="34" t="s">
        <v>132</v>
      </c>
    </row>
    <row r="13" customFormat="false" ht="17.15" hidden="false" customHeight="false" outlineLevel="0" collapsed="false">
      <c r="A13" s="30" t="s">
        <v>129</v>
      </c>
      <c r="B13" s="29" t="s">
        <v>154</v>
      </c>
      <c r="C13" s="30" t="s">
        <v>131</v>
      </c>
      <c r="D13" s="29" t="s">
        <v>68</v>
      </c>
      <c r="E13" s="33" t="n">
        <v>0</v>
      </c>
      <c r="F13" s="33" t="n">
        <v>547140</v>
      </c>
      <c r="G13" s="33" t="n">
        <v>62418433</v>
      </c>
      <c r="H13" s="34" t="s">
        <v>132</v>
      </c>
    </row>
    <row r="14" customFormat="false" ht="17.15" hidden="false" customHeight="false" outlineLevel="0" collapsed="false">
      <c r="A14" s="30" t="s">
        <v>129</v>
      </c>
      <c r="B14" s="29" t="s">
        <v>155</v>
      </c>
      <c r="C14" s="30" t="s">
        <v>131</v>
      </c>
      <c r="D14" s="30" t="s">
        <v>56</v>
      </c>
      <c r="E14" s="33" t="n">
        <v>0</v>
      </c>
      <c r="F14" s="33" t="n">
        <v>2799170</v>
      </c>
      <c r="G14" s="33" t="n">
        <v>61871293</v>
      </c>
      <c r="H14" s="34" t="s">
        <v>132</v>
      </c>
    </row>
    <row r="15" customFormat="false" ht="17.15" hidden="false" customHeight="false" outlineLevel="0" collapsed="false">
      <c r="A15" s="30" t="s">
        <v>129</v>
      </c>
      <c r="B15" s="29" t="s">
        <v>156</v>
      </c>
      <c r="C15" s="30" t="s">
        <v>131</v>
      </c>
      <c r="D15" s="29" t="s">
        <v>58</v>
      </c>
      <c r="E15" s="33" t="n">
        <v>0</v>
      </c>
      <c r="F15" s="33" t="n">
        <v>2669524</v>
      </c>
      <c r="G15" s="33" t="n">
        <v>59072123</v>
      </c>
      <c r="H15" s="34" t="s">
        <v>132</v>
      </c>
    </row>
    <row r="16" customFormat="false" ht="17.15" hidden="false" customHeight="false" outlineLevel="0" collapsed="false">
      <c r="A16" s="21" t="s">
        <v>129</v>
      </c>
      <c r="B16" s="15" t="s">
        <v>157</v>
      </c>
      <c r="C16" s="21" t="s">
        <v>143</v>
      </c>
      <c r="D16" s="21" t="s">
        <v>158</v>
      </c>
      <c r="E16" s="35" t="n">
        <v>500000</v>
      </c>
      <c r="F16" s="35" t="n">
        <v>0</v>
      </c>
      <c r="G16" s="35" t="n">
        <v>56402599</v>
      </c>
      <c r="H16" s="36" t="s">
        <v>159</v>
      </c>
    </row>
    <row r="17" customFormat="false" ht="17.15" hidden="false" customHeight="false" outlineLevel="0" collapsed="false">
      <c r="A17" s="21" t="s">
        <v>129</v>
      </c>
      <c r="B17" s="15" t="s">
        <v>160</v>
      </c>
      <c r="C17" s="21" t="s">
        <v>143</v>
      </c>
      <c r="D17" s="21" t="s">
        <v>158</v>
      </c>
      <c r="E17" s="35" t="n">
        <v>1700000</v>
      </c>
      <c r="F17" s="35" t="n">
        <v>0</v>
      </c>
      <c r="G17" s="35" t="n">
        <v>56902599</v>
      </c>
      <c r="H17" s="36" t="s">
        <v>159</v>
      </c>
    </row>
    <row r="18" customFormat="false" ht="17.15" hidden="false" customHeight="false" outlineLevel="0" collapsed="false">
      <c r="A18" s="30" t="s">
        <v>129</v>
      </c>
      <c r="B18" s="29" t="s">
        <v>161</v>
      </c>
      <c r="C18" s="30" t="s">
        <v>131</v>
      </c>
      <c r="D18" s="30" t="s">
        <v>57</v>
      </c>
      <c r="E18" s="33" t="n">
        <v>0</v>
      </c>
      <c r="F18" s="33" t="n">
        <v>2447456</v>
      </c>
      <c r="G18" s="33" t="n">
        <v>58602599</v>
      </c>
      <c r="H18" s="34" t="s">
        <v>132</v>
      </c>
    </row>
    <row r="19" customFormat="false" ht="15" hidden="false" customHeight="false" outlineLevel="0" collapsed="false">
      <c r="A19" s="21" t="s">
        <v>129</v>
      </c>
      <c r="B19" s="15" t="s">
        <v>162</v>
      </c>
      <c r="C19" s="21" t="s">
        <v>163</v>
      </c>
      <c r="D19" s="15" t="s">
        <v>164</v>
      </c>
      <c r="E19" s="35" t="n">
        <v>6550</v>
      </c>
      <c r="F19" s="35" t="n">
        <v>0</v>
      </c>
      <c r="G19" s="35" t="n">
        <v>56155143</v>
      </c>
      <c r="H19" s="36" t="s">
        <v>165</v>
      </c>
    </row>
    <row r="20" customFormat="false" ht="17.15" hidden="false" customHeight="false" outlineLevel="0" collapsed="false">
      <c r="A20" s="30" t="s">
        <v>129</v>
      </c>
      <c r="B20" s="29" t="s">
        <v>166</v>
      </c>
      <c r="C20" s="30" t="s">
        <v>136</v>
      </c>
      <c r="D20" s="30" t="s">
        <v>167</v>
      </c>
      <c r="E20" s="33" t="n">
        <v>29480000</v>
      </c>
      <c r="F20" s="33" t="n">
        <v>0</v>
      </c>
      <c r="G20" s="33" t="n">
        <v>56161693</v>
      </c>
      <c r="H20" s="34" t="s">
        <v>168</v>
      </c>
    </row>
    <row r="21" customFormat="false" ht="17.15" hidden="false" customHeight="false" outlineLevel="0" collapsed="false">
      <c r="A21" s="21" t="s">
        <v>129</v>
      </c>
      <c r="B21" s="15" t="s">
        <v>169</v>
      </c>
      <c r="C21" s="15" t="s">
        <v>170</v>
      </c>
      <c r="D21" s="21" t="s">
        <v>171</v>
      </c>
      <c r="E21" s="35" t="n">
        <v>250000</v>
      </c>
      <c r="F21" s="35" t="n">
        <v>0</v>
      </c>
      <c r="G21" s="35" t="n">
        <v>85641693</v>
      </c>
      <c r="H21" s="36" t="s">
        <v>172</v>
      </c>
    </row>
    <row r="22" customFormat="false" ht="17.15" hidden="false" customHeight="false" outlineLevel="0" collapsed="false">
      <c r="A22" s="21" t="s">
        <v>129</v>
      </c>
      <c r="B22" s="15" t="s">
        <v>173</v>
      </c>
      <c r="C22" s="15" t="s">
        <v>174</v>
      </c>
      <c r="D22" s="15" t="s">
        <v>175</v>
      </c>
      <c r="E22" s="35" t="n">
        <v>121000</v>
      </c>
      <c r="F22" s="35" t="n">
        <v>0</v>
      </c>
      <c r="G22" s="35" t="n">
        <v>85891693</v>
      </c>
      <c r="H22" s="37" t="s">
        <v>176</v>
      </c>
    </row>
    <row r="23" customFormat="false" ht="15" hidden="false" customHeight="false" outlineLevel="0" collapsed="false">
      <c r="A23" s="21" t="s">
        <v>129</v>
      </c>
      <c r="B23" s="15" t="s">
        <v>177</v>
      </c>
      <c r="C23" s="21" t="s">
        <v>163</v>
      </c>
      <c r="D23" s="15" t="s">
        <v>178</v>
      </c>
      <c r="E23" s="35" t="n">
        <v>80410</v>
      </c>
      <c r="F23" s="35" t="n">
        <v>0</v>
      </c>
      <c r="G23" s="35" t="n">
        <v>86012693</v>
      </c>
      <c r="H23" s="36" t="s">
        <v>165</v>
      </c>
    </row>
    <row r="24" customFormat="false" ht="15" hidden="false" customHeight="false" outlineLevel="0" collapsed="false">
      <c r="A24" s="21" t="s">
        <v>129</v>
      </c>
      <c r="B24" s="15" t="s">
        <v>179</v>
      </c>
      <c r="C24" s="21" t="s">
        <v>163</v>
      </c>
      <c r="D24" s="15" t="s">
        <v>180</v>
      </c>
      <c r="E24" s="35" t="n">
        <v>5660</v>
      </c>
      <c r="F24" s="35" t="n">
        <v>0</v>
      </c>
      <c r="G24" s="35" t="n">
        <v>86093103</v>
      </c>
      <c r="H24" s="36" t="s">
        <v>165</v>
      </c>
    </row>
    <row r="25" customFormat="false" ht="15" hidden="false" customHeight="false" outlineLevel="0" collapsed="false">
      <c r="A25" s="21" t="s">
        <v>129</v>
      </c>
      <c r="B25" s="15" t="s">
        <v>181</v>
      </c>
      <c r="C25" s="21" t="s">
        <v>182</v>
      </c>
      <c r="D25" s="21" t="s">
        <v>183</v>
      </c>
      <c r="E25" s="35" t="n">
        <v>462530</v>
      </c>
      <c r="F25" s="35" t="n">
        <v>0</v>
      </c>
      <c r="G25" s="35" t="n">
        <v>86098763</v>
      </c>
      <c r="H25" s="36" t="s">
        <v>184</v>
      </c>
    </row>
    <row r="26" customFormat="false" ht="17.15" hidden="false" customHeight="false" outlineLevel="0" collapsed="false">
      <c r="A26" s="21" t="s">
        <v>129</v>
      </c>
      <c r="B26" s="15" t="s">
        <v>185</v>
      </c>
      <c r="C26" s="15" t="s">
        <v>170</v>
      </c>
      <c r="D26" s="15" t="s">
        <v>186</v>
      </c>
      <c r="E26" s="35" t="n">
        <v>173900</v>
      </c>
      <c r="F26" s="35" t="n">
        <v>0</v>
      </c>
      <c r="G26" s="35" t="n">
        <v>86561293</v>
      </c>
      <c r="H26" s="36" t="s">
        <v>187</v>
      </c>
    </row>
    <row r="27" customFormat="false" ht="17.15" hidden="false" customHeight="false" outlineLevel="0" collapsed="false">
      <c r="A27" s="21" t="s">
        <v>129</v>
      </c>
      <c r="B27" s="15" t="s">
        <v>185</v>
      </c>
      <c r="C27" s="15" t="s">
        <v>170</v>
      </c>
      <c r="D27" s="15" t="s">
        <v>188</v>
      </c>
      <c r="E27" s="35" t="n">
        <v>173900</v>
      </c>
      <c r="F27" s="35" t="n">
        <v>0</v>
      </c>
      <c r="G27" s="35" t="n">
        <v>86735193</v>
      </c>
      <c r="H27" s="36" t="s">
        <v>187</v>
      </c>
    </row>
    <row r="28" customFormat="false" ht="17.15" hidden="false" customHeight="false" outlineLevel="0" collapsed="false">
      <c r="A28" s="21" t="s">
        <v>129</v>
      </c>
      <c r="B28" s="15" t="s">
        <v>189</v>
      </c>
      <c r="C28" s="15" t="s">
        <v>170</v>
      </c>
      <c r="D28" s="15" t="s">
        <v>190</v>
      </c>
      <c r="E28" s="35" t="n">
        <v>173900</v>
      </c>
      <c r="F28" s="35" t="n">
        <v>0</v>
      </c>
      <c r="G28" s="35" t="n">
        <v>86909093</v>
      </c>
      <c r="H28" s="36" t="s">
        <v>187</v>
      </c>
    </row>
    <row r="29" customFormat="false" ht="17.15" hidden="false" customHeight="false" outlineLevel="0" collapsed="false">
      <c r="A29" s="21" t="s">
        <v>129</v>
      </c>
      <c r="B29" s="15" t="s">
        <v>189</v>
      </c>
      <c r="C29" s="15" t="s">
        <v>170</v>
      </c>
      <c r="D29" s="15" t="s">
        <v>191</v>
      </c>
      <c r="E29" s="35" t="n">
        <v>173900</v>
      </c>
      <c r="F29" s="35" t="n">
        <v>0</v>
      </c>
      <c r="G29" s="35" t="n">
        <v>87082993</v>
      </c>
      <c r="H29" s="36" t="s">
        <v>187</v>
      </c>
    </row>
    <row r="30" customFormat="false" ht="17.15" hidden="false" customHeight="false" outlineLevel="0" collapsed="false">
      <c r="A30" s="21" t="s">
        <v>129</v>
      </c>
      <c r="B30" s="15" t="s">
        <v>189</v>
      </c>
      <c r="C30" s="15" t="s">
        <v>170</v>
      </c>
      <c r="D30" s="15" t="s">
        <v>192</v>
      </c>
      <c r="E30" s="35" t="n">
        <v>175000</v>
      </c>
      <c r="F30" s="35" t="n">
        <v>0</v>
      </c>
      <c r="G30" s="35" t="n">
        <v>87256893</v>
      </c>
      <c r="H30" s="36" t="s">
        <v>187</v>
      </c>
    </row>
    <row r="31" customFormat="false" ht="17.15" hidden="false" customHeight="false" outlineLevel="0" collapsed="false">
      <c r="A31" s="21" t="s">
        <v>129</v>
      </c>
      <c r="B31" s="15" t="s">
        <v>193</v>
      </c>
      <c r="C31" s="21" t="s">
        <v>194</v>
      </c>
      <c r="D31" s="21" t="s">
        <v>195</v>
      </c>
      <c r="E31" s="35" t="n">
        <v>57800</v>
      </c>
      <c r="F31" s="35" t="n">
        <v>0</v>
      </c>
      <c r="G31" s="35" t="n">
        <v>87431893</v>
      </c>
      <c r="H31" s="36" t="s">
        <v>141</v>
      </c>
    </row>
    <row r="32" customFormat="false" ht="17.15" hidden="false" customHeight="false" outlineLevel="0" collapsed="false">
      <c r="A32" s="21" t="s">
        <v>129</v>
      </c>
      <c r="B32" s="15" t="s">
        <v>196</v>
      </c>
      <c r="C32" s="21" t="s">
        <v>136</v>
      </c>
      <c r="D32" s="21" t="s">
        <v>197</v>
      </c>
      <c r="E32" s="35" t="n">
        <v>29296</v>
      </c>
      <c r="F32" s="35" t="n">
        <v>0</v>
      </c>
      <c r="G32" s="35" t="n">
        <v>87489693</v>
      </c>
      <c r="H32" s="36" t="s">
        <v>198</v>
      </c>
    </row>
    <row r="33" customFormat="false" ht="17.15" hidden="false" customHeight="false" outlineLevel="0" collapsed="false">
      <c r="A33" s="21" t="s">
        <v>129</v>
      </c>
      <c r="B33" s="15" t="s">
        <v>199</v>
      </c>
      <c r="C33" s="21" t="s">
        <v>200</v>
      </c>
      <c r="D33" s="21" t="s">
        <v>201</v>
      </c>
      <c r="E33" s="35" t="n">
        <v>2200000</v>
      </c>
      <c r="F33" s="35" t="n">
        <v>0</v>
      </c>
      <c r="G33" s="35" t="n">
        <v>87518989</v>
      </c>
      <c r="H33" s="36" t="s">
        <v>202</v>
      </c>
    </row>
    <row r="34" customFormat="false" ht="17.15" hidden="false" customHeight="false" outlineLevel="0" collapsed="false">
      <c r="A34" s="21" t="s">
        <v>129</v>
      </c>
      <c r="B34" s="15" t="s">
        <v>199</v>
      </c>
      <c r="C34" s="21" t="s">
        <v>136</v>
      </c>
      <c r="D34" s="21" t="s">
        <v>203</v>
      </c>
      <c r="E34" s="35" t="n">
        <v>200000</v>
      </c>
      <c r="F34" s="35" t="n">
        <v>0</v>
      </c>
      <c r="G34" s="35" t="n">
        <v>89718989</v>
      </c>
      <c r="H34" s="36" t="s">
        <v>138</v>
      </c>
    </row>
    <row r="35" customFormat="false" ht="17.15" hidden="false" customHeight="false" outlineLevel="0" collapsed="false">
      <c r="A35" s="30" t="s">
        <v>129</v>
      </c>
      <c r="B35" s="29" t="s">
        <v>204</v>
      </c>
      <c r="C35" s="30" t="s">
        <v>131</v>
      </c>
      <c r="D35" s="29" t="s">
        <v>54</v>
      </c>
      <c r="E35" s="33" t="n">
        <v>0</v>
      </c>
      <c r="F35" s="33" t="n">
        <v>45174459</v>
      </c>
      <c r="G35" s="33" t="n">
        <v>89918989</v>
      </c>
      <c r="H35" s="34" t="s">
        <v>132</v>
      </c>
    </row>
    <row r="36" customFormat="false" ht="17.15" hidden="false" customHeight="false" outlineLevel="0" collapsed="false">
      <c r="A36" s="21" t="s">
        <v>129</v>
      </c>
      <c r="B36" s="15" t="s">
        <v>205</v>
      </c>
      <c r="C36" s="21" t="s">
        <v>206</v>
      </c>
      <c r="D36" s="21" t="s">
        <v>207</v>
      </c>
      <c r="E36" s="35" t="n">
        <v>341940</v>
      </c>
      <c r="F36" s="35" t="n">
        <v>0</v>
      </c>
      <c r="G36" s="35" t="n">
        <v>44744530</v>
      </c>
      <c r="H36" s="36" t="s">
        <v>208</v>
      </c>
    </row>
    <row r="37" customFormat="false" ht="17.15" hidden="false" customHeight="false" outlineLevel="0" collapsed="false">
      <c r="A37" s="30" t="s">
        <v>129</v>
      </c>
      <c r="B37" s="29" t="s">
        <v>209</v>
      </c>
      <c r="C37" s="30" t="s">
        <v>131</v>
      </c>
      <c r="D37" s="29" t="s">
        <v>64</v>
      </c>
      <c r="E37" s="33" t="n">
        <v>0</v>
      </c>
      <c r="F37" s="33" t="n">
        <v>1669580</v>
      </c>
      <c r="G37" s="33" t="n">
        <v>45086470</v>
      </c>
      <c r="H37" s="34" t="s">
        <v>132</v>
      </c>
    </row>
    <row r="38" customFormat="false" ht="17.15" hidden="false" customHeight="false" outlineLevel="0" collapsed="false">
      <c r="A38" s="21" t="s">
        <v>129</v>
      </c>
      <c r="B38" s="15" t="s">
        <v>210</v>
      </c>
      <c r="C38" s="15" t="s">
        <v>170</v>
      </c>
      <c r="D38" s="21" t="s">
        <v>211</v>
      </c>
      <c r="E38" s="35" t="n">
        <v>29700</v>
      </c>
      <c r="F38" s="35" t="n">
        <v>0</v>
      </c>
      <c r="G38" s="35" t="n">
        <v>43416890</v>
      </c>
      <c r="H38" s="36" t="s">
        <v>212</v>
      </c>
    </row>
    <row r="39" customFormat="false" ht="17.15" hidden="false" customHeight="false" outlineLevel="0" collapsed="false">
      <c r="A39" s="21" t="s">
        <v>129</v>
      </c>
      <c r="B39" s="15" t="s">
        <v>210</v>
      </c>
      <c r="C39" s="15" t="s">
        <v>170</v>
      </c>
      <c r="D39" s="21" t="s">
        <v>213</v>
      </c>
      <c r="E39" s="35" t="n">
        <v>42764</v>
      </c>
      <c r="F39" s="35" t="n">
        <v>0</v>
      </c>
      <c r="G39" s="35" t="n">
        <v>43446590</v>
      </c>
      <c r="H39" s="36" t="s">
        <v>212</v>
      </c>
    </row>
    <row r="40" customFormat="false" ht="17.15" hidden="false" customHeight="false" outlineLevel="0" collapsed="false">
      <c r="A40" s="30" t="s">
        <v>129</v>
      </c>
      <c r="B40" s="29" t="s">
        <v>214</v>
      </c>
      <c r="C40" s="30" t="s">
        <v>206</v>
      </c>
      <c r="D40" s="30" t="s">
        <v>215</v>
      </c>
      <c r="E40" s="33" t="n">
        <v>0</v>
      </c>
      <c r="F40" s="33" t="n">
        <v>132000</v>
      </c>
      <c r="G40" s="33" t="n">
        <v>43489354</v>
      </c>
      <c r="H40" s="34" t="s">
        <v>132</v>
      </c>
    </row>
    <row r="41" customFormat="false" ht="15" hidden="false" customHeight="false" outlineLevel="0" collapsed="false">
      <c r="A41" s="21" t="s">
        <v>129</v>
      </c>
      <c r="B41" s="15" t="s">
        <v>216</v>
      </c>
      <c r="C41" s="21" t="s">
        <v>217</v>
      </c>
      <c r="D41" s="21" t="s">
        <v>218</v>
      </c>
      <c r="E41" s="35" t="n">
        <v>12500</v>
      </c>
      <c r="F41" s="35" t="n">
        <v>0</v>
      </c>
      <c r="G41" s="35" t="n">
        <v>43357354</v>
      </c>
      <c r="H41" s="36" t="s">
        <v>219</v>
      </c>
    </row>
    <row r="42" customFormat="false" ht="17.15" hidden="false" customHeight="false" outlineLevel="0" collapsed="false">
      <c r="A42" s="30" t="s">
        <v>129</v>
      </c>
      <c r="B42" s="29" t="s">
        <v>220</v>
      </c>
      <c r="C42" s="30" t="s">
        <v>131</v>
      </c>
      <c r="D42" s="30" t="s">
        <v>221</v>
      </c>
      <c r="E42" s="33" t="n">
        <v>0</v>
      </c>
      <c r="F42" s="33" t="n">
        <v>1530980</v>
      </c>
      <c r="G42" s="33" t="n">
        <v>43369854</v>
      </c>
      <c r="H42" s="34" t="s">
        <v>132</v>
      </c>
    </row>
    <row r="43" customFormat="false" ht="17.15" hidden="false" customHeight="false" outlineLevel="0" collapsed="false">
      <c r="A43" s="21" t="s">
        <v>129</v>
      </c>
      <c r="B43" s="15" t="s">
        <v>222</v>
      </c>
      <c r="C43" s="21" t="s">
        <v>136</v>
      </c>
      <c r="D43" s="21" t="s">
        <v>223</v>
      </c>
      <c r="E43" s="35" t="n">
        <v>2045820</v>
      </c>
      <c r="F43" s="35" t="n">
        <v>0</v>
      </c>
      <c r="G43" s="35" t="n">
        <v>41838874</v>
      </c>
      <c r="H43" s="36" t="s">
        <v>224</v>
      </c>
    </row>
    <row r="44" customFormat="false" ht="17.15" hidden="false" customHeight="false" outlineLevel="0" collapsed="false">
      <c r="A44" s="21" t="s">
        <v>129</v>
      </c>
      <c r="B44" s="15" t="s">
        <v>225</v>
      </c>
      <c r="C44" s="21" t="s">
        <v>226</v>
      </c>
      <c r="D44" s="21" t="s">
        <v>227</v>
      </c>
      <c r="E44" s="35" t="n">
        <v>2009480</v>
      </c>
      <c r="F44" s="35" t="n">
        <v>0</v>
      </c>
      <c r="G44" s="35" t="n">
        <v>43884694</v>
      </c>
      <c r="H44" s="36" t="s">
        <v>224</v>
      </c>
    </row>
    <row r="45" customFormat="false" ht="17.15" hidden="false" customHeight="false" outlineLevel="0" collapsed="false">
      <c r="A45" s="21" t="s">
        <v>129</v>
      </c>
      <c r="B45" s="15" t="s">
        <v>228</v>
      </c>
      <c r="C45" s="21" t="s">
        <v>226</v>
      </c>
      <c r="D45" s="21" t="s">
        <v>229</v>
      </c>
      <c r="E45" s="35" t="n">
        <v>2009480</v>
      </c>
      <c r="F45" s="35" t="n">
        <v>0</v>
      </c>
      <c r="G45" s="35" t="n">
        <v>45894174</v>
      </c>
      <c r="H45" s="36" t="s">
        <v>224</v>
      </c>
    </row>
    <row r="46" customFormat="false" ht="17.15" hidden="false" customHeight="false" outlineLevel="0" collapsed="false">
      <c r="A46" s="21" t="s">
        <v>129</v>
      </c>
      <c r="B46" s="15" t="s">
        <v>230</v>
      </c>
      <c r="C46" s="21" t="s">
        <v>136</v>
      </c>
      <c r="D46" s="21" t="s">
        <v>231</v>
      </c>
      <c r="E46" s="35" t="n">
        <v>2026690</v>
      </c>
      <c r="F46" s="35" t="n">
        <v>0</v>
      </c>
      <c r="G46" s="35" t="n">
        <v>47903654</v>
      </c>
      <c r="H46" s="36" t="s">
        <v>224</v>
      </c>
    </row>
    <row r="47" customFormat="false" ht="17.15" hidden="false" customHeight="false" outlineLevel="0" collapsed="false">
      <c r="A47" s="21" t="s">
        <v>129</v>
      </c>
      <c r="B47" s="15" t="s">
        <v>232</v>
      </c>
      <c r="C47" s="21" t="s">
        <v>136</v>
      </c>
      <c r="D47" s="21" t="s">
        <v>233</v>
      </c>
      <c r="E47" s="35" t="n">
        <v>2255280</v>
      </c>
      <c r="F47" s="35" t="n">
        <v>0</v>
      </c>
      <c r="G47" s="35" t="n">
        <v>49930344</v>
      </c>
      <c r="H47" s="36" t="s">
        <v>224</v>
      </c>
    </row>
    <row r="48" customFormat="false" ht="17.15" hidden="false" customHeight="false" outlineLevel="0" collapsed="false">
      <c r="A48" s="21" t="s">
        <v>129</v>
      </c>
      <c r="B48" s="15" t="s">
        <v>234</v>
      </c>
      <c r="C48" s="21" t="s">
        <v>235</v>
      </c>
      <c r="D48" s="21" t="s">
        <v>236</v>
      </c>
      <c r="E48" s="35" t="n">
        <v>2224420</v>
      </c>
      <c r="F48" s="35" t="n">
        <v>0</v>
      </c>
      <c r="G48" s="35" t="n">
        <v>52185624</v>
      </c>
      <c r="H48" s="36" t="s">
        <v>224</v>
      </c>
    </row>
    <row r="49" customFormat="false" ht="17.15" hidden="false" customHeight="false" outlineLevel="0" collapsed="false">
      <c r="A49" s="21" t="s">
        <v>129</v>
      </c>
      <c r="B49" s="15" t="s">
        <v>237</v>
      </c>
      <c r="C49" s="21" t="s">
        <v>235</v>
      </c>
      <c r="D49" s="21" t="s">
        <v>238</v>
      </c>
      <c r="E49" s="35" t="n">
        <v>2929920</v>
      </c>
      <c r="F49" s="35" t="n">
        <v>0</v>
      </c>
      <c r="G49" s="35" t="n">
        <v>54410044</v>
      </c>
      <c r="H49" s="36" t="s">
        <v>224</v>
      </c>
    </row>
    <row r="50" customFormat="false" ht="17.15" hidden="false" customHeight="false" outlineLevel="0" collapsed="false">
      <c r="A50" s="21" t="s">
        <v>129</v>
      </c>
      <c r="B50" s="15" t="s">
        <v>237</v>
      </c>
      <c r="C50" s="21" t="s">
        <v>235</v>
      </c>
      <c r="D50" s="21" t="s">
        <v>239</v>
      </c>
      <c r="E50" s="35" t="n">
        <v>3188260</v>
      </c>
      <c r="F50" s="35" t="n">
        <v>0</v>
      </c>
      <c r="G50" s="35" t="n">
        <v>57339964</v>
      </c>
      <c r="H50" s="36" t="s">
        <v>224</v>
      </c>
    </row>
    <row r="51" customFormat="false" ht="17.15" hidden="false" customHeight="false" outlineLevel="0" collapsed="false">
      <c r="A51" s="21" t="s">
        <v>129</v>
      </c>
      <c r="B51" s="15" t="s">
        <v>240</v>
      </c>
      <c r="C51" s="21" t="s">
        <v>241</v>
      </c>
      <c r="D51" s="21" t="s">
        <v>242</v>
      </c>
      <c r="E51" s="35" t="n">
        <v>4568470</v>
      </c>
      <c r="F51" s="35" t="n">
        <v>0</v>
      </c>
      <c r="G51" s="35" t="n">
        <v>60528224</v>
      </c>
      <c r="H51" s="36" t="s">
        <v>224</v>
      </c>
    </row>
    <row r="52" customFormat="false" ht="17.15" hidden="false" customHeight="false" outlineLevel="0" collapsed="false">
      <c r="A52" s="21" t="s">
        <v>129</v>
      </c>
      <c r="B52" s="15" t="s">
        <v>243</v>
      </c>
      <c r="C52" s="21" t="s">
        <v>143</v>
      </c>
      <c r="D52" s="21" t="s">
        <v>244</v>
      </c>
      <c r="E52" s="35" t="n">
        <v>3222930</v>
      </c>
      <c r="F52" s="35" t="n">
        <v>0</v>
      </c>
      <c r="G52" s="35" t="n">
        <v>65096694</v>
      </c>
      <c r="H52" s="36" t="s">
        <v>224</v>
      </c>
    </row>
    <row r="53" customFormat="false" ht="17.15" hidden="false" customHeight="false" outlineLevel="0" collapsed="false">
      <c r="A53" s="21" t="s">
        <v>129</v>
      </c>
      <c r="B53" s="15" t="s">
        <v>245</v>
      </c>
      <c r="C53" s="21" t="s">
        <v>200</v>
      </c>
      <c r="D53" s="21" t="s">
        <v>246</v>
      </c>
      <c r="E53" s="35" t="n">
        <v>3903960</v>
      </c>
      <c r="F53" s="35" t="n">
        <v>0</v>
      </c>
      <c r="G53" s="35" t="n">
        <v>68319624</v>
      </c>
      <c r="H53" s="36" t="s">
        <v>224</v>
      </c>
    </row>
    <row r="54" customFormat="false" ht="17.15" hidden="false" customHeight="false" outlineLevel="0" collapsed="false">
      <c r="A54" s="21" t="s">
        <v>129</v>
      </c>
      <c r="B54" s="15" t="s">
        <v>245</v>
      </c>
      <c r="C54" s="21" t="s">
        <v>235</v>
      </c>
      <c r="D54" s="21" t="s">
        <v>247</v>
      </c>
      <c r="E54" s="35" t="n">
        <v>6695000</v>
      </c>
      <c r="F54" s="35" t="n">
        <v>0</v>
      </c>
      <c r="G54" s="35" t="n">
        <v>72223584</v>
      </c>
      <c r="H54" s="36" t="s">
        <v>224</v>
      </c>
    </row>
    <row r="55" customFormat="false" ht="17.15" hidden="false" customHeight="false" outlineLevel="0" collapsed="false">
      <c r="A55" s="30" t="s">
        <v>129</v>
      </c>
      <c r="B55" s="29" t="s">
        <v>248</v>
      </c>
      <c r="C55" s="30" t="s">
        <v>131</v>
      </c>
      <c r="D55" s="30" t="s">
        <v>60</v>
      </c>
      <c r="E55" s="33" t="n">
        <v>0</v>
      </c>
      <c r="F55" s="33" t="n">
        <v>2922986</v>
      </c>
      <c r="G55" s="33" t="n">
        <v>78918584</v>
      </c>
      <c r="H55" s="34" t="s">
        <v>132</v>
      </c>
    </row>
    <row r="56" customFormat="false" ht="17.15" hidden="false" customHeight="false" outlineLevel="0" collapsed="false">
      <c r="A56" s="21" t="s">
        <v>129</v>
      </c>
      <c r="B56" s="15" t="s">
        <v>249</v>
      </c>
      <c r="C56" s="21" t="s">
        <v>250</v>
      </c>
      <c r="D56" s="21" t="s">
        <v>251</v>
      </c>
      <c r="E56" s="35" t="n">
        <v>28780</v>
      </c>
      <c r="F56" s="35" t="n">
        <v>0</v>
      </c>
      <c r="G56" s="35" t="n">
        <v>75995598</v>
      </c>
      <c r="H56" s="36" t="s">
        <v>252</v>
      </c>
    </row>
    <row r="57" customFormat="false" ht="17.15" hidden="false" customHeight="false" outlineLevel="0" collapsed="false">
      <c r="A57" s="21" t="s">
        <v>129</v>
      </c>
      <c r="B57" s="15" t="s">
        <v>249</v>
      </c>
      <c r="C57" s="21" t="s">
        <v>250</v>
      </c>
      <c r="D57" s="21" t="s">
        <v>251</v>
      </c>
      <c r="E57" s="35" t="n">
        <v>30300</v>
      </c>
      <c r="F57" s="35" t="n">
        <v>0</v>
      </c>
      <c r="G57" s="35" t="n">
        <v>76024378</v>
      </c>
      <c r="H57" s="36" t="s">
        <v>252</v>
      </c>
    </row>
    <row r="58" customFormat="false" ht="17.15" hidden="false" customHeight="false" outlineLevel="0" collapsed="false">
      <c r="A58" s="21" t="s">
        <v>129</v>
      </c>
      <c r="B58" s="15" t="s">
        <v>253</v>
      </c>
      <c r="C58" s="21" t="s">
        <v>254</v>
      </c>
      <c r="D58" s="21" t="s">
        <v>255</v>
      </c>
      <c r="E58" s="35" t="n">
        <v>47200</v>
      </c>
      <c r="F58" s="35" t="n">
        <v>0</v>
      </c>
      <c r="G58" s="35" t="n">
        <v>76054678</v>
      </c>
      <c r="H58" s="36" t="s">
        <v>212</v>
      </c>
    </row>
    <row r="59" customFormat="false" ht="15" hidden="false" customHeight="false" outlineLevel="0" collapsed="false">
      <c r="A59" s="21" t="s">
        <v>129</v>
      </c>
      <c r="B59" s="15" t="s">
        <v>256</v>
      </c>
      <c r="C59" s="21" t="s">
        <v>217</v>
      </c>
      <c r="D59" s="21" t="s">
        <v>257</v>
      </c>
      <c r="E59" s="35" t="n">
        <v>581250</v>
      </c>
      <c r="F59" s="35" t="n">
        <v>0</v>
      </c>
      <c r="G59" s="35" t="n">
        <v>76101878</v>
      </c>
      <c r="H59" s="36" t="s">
        <v>219</v>
      </c>
    </row>
    <row r="60" customFormat="false" ht="17.15" hidden="false" customHeight="false" outlineLevel="0" collapsed="false">
      <c r="A60" s="21" t="s">
        <v>129</v>
      </c>
      <c r="B60" s="15" t="s">
        <v>258</v>
      </c>
      <c r="C60" s="21" t="s">
        <v>206</v>
      </c>
      <c r="D60" s="21" t="s">
        <v>259</v>
      </c>
      <c r="E60" s="35" t="n">
        <v>13750</v>
      </c>
      <c r="F60" s="35" t="n">
        <v>0</v>
      </c>
      <c r="G60" s="35" t="n">
        <v>76683128</v>
      </c>
      <c r="H60" s="36" t="s">
        <v>260</v>
      </c>
    </row>
    <row r="61" customFormat="false" ht="17.15" hidden="false" customHeight="false" outlineLevel="0" collapsed="false">
      <c r="A61" s="21" t="s">
        <v>129</v>
      </c>
      <c r="B61" s="15" t="s">
        <v>261</v>
      </c>
      <c r="C61" s="21" t="s">
        <v>136</v>
      </c>
      <c r="D61" s="21" t="s">
        <v>262</v>
      </c>
      <c r="E61" s="35" t="n">
        <v>391600</v>
      </c>
      <c r="F61" s="35" t="n">
        <v>0</v>
      </c>
      <c r="G61" s="35" t="n">
        <v>76696878</v>
      </c>
      <c r="H61" s="36" t="s">
        <v>141</v>
      </c>
    </row>
    <row r="62" customFormat="false" ht="17.15" hidden="false" customHeight="false" outlineLevel="0" collapsed="false">
      <c r="A62" s="21" t="s">
        <v>129</v>
      </c>
      <c r="B62" s="15" t="s">
        <v>263</v>
      </c>
      <c r="C62" s="21" t="s">
        <v>136</v>
      </c>
      <c r="D62" s="21" t="s">
        <v>264</v>
      </c>
      <c r="E62" s="35" t="n">
        <v>205700</v>
      </c>
      <c r="F62" s="35" t="n">
        <v>0</v>
      </c>
      <c r="G62" s="35" t="n">
        <v>77088478</v>
      </c>
      <c r="H62" s="36" t="s">
        <v>141</v>
      </c>
    </row>
    <row r="63" customFormat="false" ht="17.15" hidden="false" customHeight="false" outlineLevel="0" collapsed="false">
      <c r="A63" s="21" t="s">
        <v>129</v>
      </c>
      <c r="B63" s="15" t="s">
        <v>263</v>
      </c>
      <c r="C63" s="21" t="s">
        <v>194</v>
      </c>
      <c r="D63" s="15" t="s">
        <v>265</v>
      </c>
      <c r="E63" s="35" t="n">
        <v>112000</v>
      </c>
      <c r="F63" s="35" t="n">
        <v>0</v>
      </c>
      <c r="G63" s="35" t="n">
        <v>77294178</v>
      </c>
      <c r="H63" s="36" t="s">
        <v>141</v>
      </c>
    </row>
    <row r="64" customFormat="false" ht="17.15" hidden="false" customHeight="false" outlineLevel="0" collapsed="false">
      <c r="A64" s="21" t="s">
        <v>129</v>
      </c>
      <c r="B64" s="15" t="s">
        <v>266</v>
      </c>
      <c r="C64" s="21" t="s">
        <v>136</v>
      </c>
      <c r="D64" s="21" t="s">
        <v>267</v>
      </c>
      <c r="E64" s="35" t="n">
        <v>60000</v>
      </c>
      <c r="F64" s="35" t="n">
        <v>0</v>
      </c>
      <c r="G64" s="35" t="n">
        <v>77406178</v>
      </c>
      <c r="H64" s="36" t="s">
        <v>141</v>
      </c>
    </row>
    <row r="65" customFormat="false" ht="17.15" hidden="false" customHeight="false" outlineLevel="0" collapsed="false">
      <c r="A65" s="21" t="s">
        <v>129</v>
      </c>
      <c r="B65" s="15" t="s">
        <v>268</v>
      </c>
      <c r="C65" s="21" t="s">
        <v>136</v>
      </c>
      <c r="D65" s="21" t="s">
        <v>269</v>
      </c>
      <c r="E65" s="35" t="n">
        <v>255871</v>
      </c>
      <c r="F65" s="35" t="n">
        <v>0</v>
      </c>
      <c r="G65" s="35" t="n">
        <v>77466178</v>
      </c>
      <c r="H65" s="36" t="s">
        <v>141</v>
      </c>
    </row>
    <row r="66" customFormat="false" ht="17.15" hidden="false" customHeight="false" outlineLevel="0" collapsed="false">
      <c r="A66" s="21" t="s">
        <v>129</v>
      </c>
      <c r="B66" s="15" t="s">
        <v>270</v>
      </c>
      <c r="C66" s="21" t="s">
        <v>200</v>
      </c>
      <c r="D66" s="21" t="s">
        <v>271</v>
      </c>
      <c r="E66" s="35" t="n">
        <v>28000</v>
      </c>
      <c r="F66" s="35" t="n">
        <v>0</v>
      </c>
      <c r="G66" s="35" t="n">
        <v>77722049</v>
      </c>
      <c r="H66" s="36" t="s">
        <v>141</v>
      </c>
    </row>
    <row r="67" customFormat="false" ht="17.15" hidden="false" customHeight="false" outlineLevel="0" collapsed="false">
      <c r="A67" s="21" t="s">
        <v>129</v>
      </c>
      <c r="B67" s="15" t="s">
        <v>270</v>
      </c>
      <c r="C67" s="21" t="s">
        <v>194</v>
      </c>
      <c r="D67" s="21" t="s">
        <v>272</v>
      </c>
      <c r="E67" s="35" t="n">
        <v>77000</v>
      </c>
      <c r="F67" s="35" t="n">
        <v>0</v>
      </c>
      <c r="G67" s="35" t="n">
        <v>77750049</v>
      </c>
      <c r="H67" s="36" t="s">
        <v>141</v>
      </c>
    </row>
    <row r="68" customFormat="false" ht="17.15" hidden="false" customHeight="false" outlineLevel="0" collapsed="false">
      <c r="A68" s="21" t="s">
        <v>129</v>
      </c>
      <c r="B68" s="15" t="s">
        <v>273</v>
      </c>
      <c r="C68" s="21" t="s">
        <v>136</v>
      </c>
      <c r="D68" s="21" t="s">
        <v>274</v>
      </c>
      <c r="E68" s="35" t="n">
        <v>418110</v>
      </c>
      <c r="F68" s="35" t="n">
        <v>0</v>
      </c>
      <c r="G68" s="35" t="n">
        <v>77827049</v>
      </c>
      <c r="H68" s="36" t="s">
        <v>141</v>
      </c>
    </row>
    <row r="69" customFormat="false" ht="17.15" hidden="false" customHeight="false" outlineLevel="0" collapsed="false">
      <c r="A69" s="21" t="s">
        <v>129</v>
      </c>
      <c r="B69" s="15" t="s">
        <v>275</v>
      </c>
      <c r="C69" s="21" t="s">
        <v>143</v>
      </c>
      <c r="D69" s="15" t="s">
        <v>276</v>
      </c>
      <c r="E69" s="35" t="n">
        <v>1501500</v>
      </c>
      <c r="F69" s="35" t="n">
        <v>0</v>
      </c>
      <c r="G69" s="35" t="n">
        <v>78245159</v>
      </c>
      <c r="H69" s="36" t="s">
        <v>145</v>
      </c>
    </row>
    <row r="70" customFormat="false" ht="17.15" hidden="false" customHeight="false" outlineLevel="0" collapsed="false">
      <c r="A70" s="30" t="s">
        <v>129</v>
      </c>
      <c r="B70" s="29" t="s">
        <v>277</v>
      </c>
      <c r="C70" s="30" t="s">
        <v>131</v>
      </c>
      <c r="D70" s="29" t="s">
        <v>278</v>
      </c>
      <c r="E70" s="33" t="n">
        <v>0</v>
      </c>
      <c r="F70" s="33" t="n">
        <v>677710</v>
      </c>
      <c r="G70" s="33" t="n">
        <v>79746659</v>
      </c>
      <c r="H70" s="34" t="s">
        <v>132</v>
      </c>
    </row>
    <row r="71" customFormat="false" ht="17.15" hidden="false" customHeight="false" outlineLevel="0" collapsed="false">
      <c r="A71" s="21" t="s">
        <v>129</v>
      </c>
      <c r="B71" s="15" t="s">
        <v>279</v>
      </c>
      <c r="C71" s="15" t="s">
        <v>170</v>
      </c>
      <c r="D71" s="21" t="s">
        <v>280</v>
      </c>
      <c r="E71" s="35" t="n">
        <v>20000</v>
      </c>
      <c r="F71" s="35" t="n">
        <v>0</v>
      </c>
      <c r="G71" s="35" t="n">
        <v>79068949</v>
      </c>
      <c r="H71" s="36" t="s">
        <v>212</v>
      </c>
    </row>
    <row r="72" customFormat="false" ht="17.15" hidden="false" customHeight="false" outlineLevel="0" collapsed="false">
      <c r="A72" s="30" t="s">
        <v>129</v>
      </c>
      <c r="B72" s="29" t="s">
        <v>281</v>
      </c>
      <c r="C72" s="30" t="s">
        <v>131</v>
      </c>
      <c r="D72" s="30" t="s">
        <v>153</v>
      </c>
      <c r="E72" s="33" t="n">
        <v>0</v>
      </c>
      <c r="F72" s="33" t="n">
        <v>234080</v>
      </c>
      <c r="G72" s="33" t="n">
        <v>79088949</v>
      </c>
      <c r="H72" s="34" t="s">
        <v>132</v>
      </c>
    </row>
    <row r="73" customFormat="false" ht="17.15" hidden="false" customHeight="false" outlineLevel="0" collapsed="false">
      <c r="A73" s="30" t="s">
        <v>129</v>
      </c>
      <c r="B73" s="29" t="s">
        <v>282</v>
      </c>
      <c r="C73" s="30" t="s">
        <v>131</v>
      </c>
      <c r="D73" s="30" t="s">
        <v>283</v>
      </c>
      <c r="E73" s="33" t="n">
        <v>0</v>
      </c>
      <c r="F73" s="33" t="n">
        <v>2617120</v>
      </c>
      <c r="G73" s="33" t="n">
        <v>78854869</v>
      </c>
      <c r="H73" s="34" t="s">
        <v>132</v>
      </c>
    </row>
    <row r="74" customFormat="false" ht="17.15" hidden="false" customHeight="false" outlineLevel="0" collapsed="false">
      <c r="A74" s="30" t="s">
        <v>129</v>
      </c>
      <c r="B74" s="29" t="s">
        <v>284</v>
      </c>
      <c r="C74" s="30" t="s">
        <v>131</v>
      </c>
      <c r="D74" s="29" t="s">
        <v>55</v>
      </c>
      <c r="E74" s="33" t="n">
        <v>0</v>
      </c>
      <c r="F74" s="33" t="n">
        <v>8918250</v>
      </c>
      <c r="G74" s="33" t="n">
        <v>76237749</v>
      </c>
      <c r="H74" s="34" t="s">
        <v>132</v>
      </c>
    </row>
    <row r="75" customFormat="false" ht="17.15" hidden="false" customHeight="false" outlineLevel="0" collapsed="false">
      <c r="A75" s="21" t="s">
        <v>129</v>
      </c>
      <c r="B75" s="15" t="s">
        <v>285</v>
      </c>
      <c r="C75" s="21" t="s">
        <v>136</v>
      </c>
      <c r="D75" s="21" t="s">
        <v>286</v>
      </c>
      <c r="E75" s="35" t="n">
        <v>50000</v>
      </c>
      <c r="F75" s="35" t="n">
        <v>0</v>
      </c>
      <c r="G75" s="35" t="n">
        <v>67319499</v>
      </c>
      <c r="H75" s="36" t="s">
        <v>287</v>
      </c>
    </row>
    <row r="76" customFormat="false" ht="17.15" hidden="false" customHeight="false" outlineLevel="0" collapsed="false">
      <c r="A76" s="21" t="s">
        <v>129</v>
      </c>
      <c r="B76" s="15" t="s">
        <v>288</v>
      </c>
      <c r="C76" s="21" t="s">
        <v>136</v>
      </c>
      <c r="D76" s="21" t="s">
        <v>289</v>
      </c>
      <c r="E76" s="35" t="n">
        <v>190000</v>
      </c>
      <c r="F76" s="35" t="n">
        <v>0</v>
      </c>
      <c r="G76" s="35" t="n">
        <v>67369499</v>
      </c>
      <c r="H76" s="36" t="s">
        <v>287</v>
      </c>
    </row>
    <row r="77" customFormat="false" ht="17.15" hidden="false" customHeight="false" outlineLevel="0" collapsed="false">
      <c r="A77" s="21" t="s">
        <v>129</v>
      </c>
      <c r="B77" s="15" t="s">
        <v>290</v>
      </c>
      <c r="C77" s="21" t="s">
        <v>226</v>
      </c>
      <c r="D77" s="21" t="s">
        <v>291</v>
      </c>
      <c r="E77" s="35" t="n">
        <v>50000</v>
      </c>
      <c r="F77" s="35" t="n">
        <v>0</v>
      </c>
      <c r="G77" s="35" t="n">
        <v>67559499</v>
      </c>
      <c r="H77" s="36" t="s">
        <v>287</v>
      </c>
    </row>
    <row r="78" customFormat="false" ht="17.15" hidden="false" customHeight="false" outlineLevel="0" collapsed="false">
      <c r="A78" s="21" t="s">
        <v>129</v>
      </c>
      <c r="B78" s="15" t="s">
        <v>292</v>
      </c>
      <c r="C78" s="21" t="s">
        <v>226</v>
      </c>
      <c r="D78" s="21" t="s">
        <v>293</v>
      </c>
      <c r="E78" s="35" t="n">
        <v>50000</v>
      </c>
      <c r="F78" s="35" t="n">
        <v>0</v>
      </c>
      <c r="G78" s="35" t="n">
        <v>67609499</v>
      </c>
      <c r="H78" s="36" t="s">
        <v>287</v>
      </c>
    </row>
    <row r="79" customFormat="false" ht="17.15" hidden="false" customHeight="false" outlineLevel="0" collapsed="false">
      <c r="A79" s="21" t="s">
        <v>129</v>
      </c>
      <c r="B79" s="15" t="s">
        <v>294</v>
      </c>
      <c r="C79" s="21" t="s">
        <v>136</v>
      </c>
      <c r="D79" s="21" t="s">
        <v>295</v>
      </c>
      <c r="E79" s="35" t="n">
        <v>50000</v>
      </c>
      <c r="F79" s="35" t="n">
        <v>0</v>
      </c>
      <c r="G79" s="35" t="n">
        <v>67659499</v>
      </c>
      <c r="H79" s="36" t="s">
        <v>287</v>
      </c>
    </row>
    <row r="80" customFormat="false" ht="17.15" hidden="false" customHeight="false" outlineLevel="0" collapsed="false">
      <c r="A80" s="21" t="s">
        <v>129</v>
      </c>
      <c r="B80" s="15" t="s">
        <v>296</v>
      </c>
      <c r="C80" s="21" t="s">
        <v>200</v>
      </c>
      <c r="D80" s="21" t="s">
        <v>297</v>
      </c>
      <c r="E80" s="35" t="n">
        <v>372000</v>
      </c>
      <c r="F80" s="35" t="n">
        <v>0</v>
      </c>
      <c r="G80" s="35" t="n">
        <v>67709499</v>
      </c>
      <c r="H80" s="36" t="s">
        <v>287</v>
      </c>
    </row>
    <row r="81" customFormat="false" ht="17.15" hidden="false" customHeight="false" outlineLevel="0" collapsed="false">
      <c r="A81" s="21" t="s">
        <v>129</v>
      </c>
      <c r="B81" s="15" t="s">
        <v>298</v>
      </c>
      <c r="C81" s="21" t="s">
        <v>235</v>
      </c>
      <c r="D81" s="21" t="s">
        <v>299</v>
      </c>
      <c r="E81" s="35" t="n">
        <v>247400</v>
      </c>
      <c r="F81" s="35" t="n">
        <v>0</v>
      </c>
      <c r="G81" s="35" t="n">
        <v>68081499</v>
      </c>
      <c r="H81" s="36" t="s">
        <v>287</v>
      </c>
    </row>
    <row r="82" customFormat="false" ht="17.15" hidden="false" customHeight="false" outlineLevel="0" collapsed="false">
      <c r="A82" s="21" t="s">
        <v>129</v>
      </c>
      <c r="B82" s="15" t="s">
        <v>300</v>
      </c>
      <c r="C82" s="21" t="s">
        <v>235</v>
      </c>
      <c r="D82" s="21" t="s">
        <v>301</v>
      </c>
      <c r="E82" s="35" t="n">
        <v>286400</v>
      </c>
      <c r="F82" s="35" t="n">
        <v>0</v>
      </c>
      <c r="G82" s="35" t="n">
        <v>68328899</v>
      </c>
      <c r="H82" s="36" t="s">
        <v>287</v>
      </c>
    </row>
    <row r="83" customFormat="false" ht="17.15" hidden="false" customHeight="false" outlineLevel="0" collapsed="false">
      <c r="A83" s="21" t="s">
        <v>129</v>
      </c>
      <c r="B83" s="15" t="s">
        <v>300</v>
      </c>
      <c r="C83" s="21" t="s">
        <v>143</v>
      </c>
      <c r="D83" s="21" t="s">
        <v>302</v>
      </c>
      <c r="E83" s="35" t="n">
        <v>307600</v>
      </c>
      <c r="F83" s="35" t="n">
        <v>0</v>
      </c>
      <c r="G83" s="35" t="n">
        <v>68615299</v>
      </c>
      <c r="H83" s="36" t="s">
        <v>287</v>
      </c>
    </row>
    <row r="84" customFormat="false" ht="17.15" hidden="false" customHeight="false" outlineLevel="0" collapsed="false">
      <c r="A84" s="21" t="s">
        <v>129</v>
      </c>
      <c r="B84" s="15" t="s">
        <v>303</v>
      </c>
      <c r="C84" s="21" t="s">
        <v>241</v>
      </c>
      <c r="D84" s="21" t="s">
        <v>304</v>
      </c>
      <c r="E84" s="35" t="n">
        <v>460000</v>
      </c>
      <c r="F84" s="35" t="n">
        <v>0</v>
      </c>
      <c r="G84" s="35" t="n">
        <v>68922899</v>
      </c>
      <c r="H84" s="36" t="s">
        <v>287</v>
      </c>
    </row>
    <row r="85" customFormat="false" ht="17.15" hidden="false" customHeight="false" outlineLevel="0" collapsed="false">
      <c r="A85" s="21" t="s">
        <v>129</v>
      </c>
      <c r="B85" s="15" t="s">
        <v>305</v>
      </c>
      <c r="C85" s="21" t="s">
        <v>235</v>
      </c>
      <c r="D85" s="21" t="s">
        <v>306</v>
      </c>
      <c r="E85" s="35" t="n">
        <v>669500</v>
      </c>
      <c r="F85" s="35" t="n">
        <v>0</v>
      </c>
      <c r="G85" s="35" t="n">
        <v>69382899</v>
      </c>
      <c r="H85" s="36" t="s">
        <v>287</v>
      </c>
    </row>
    <row r="86" customFormat="false" ht="17.15" hidden="false" customHeight="false" outlineLevel="0" collapsed="false">
      <c r="A86" s="21" t="s">
        <v>129</v>
      </c>
      <c r="B86" s="15" t="s">
        <v>305</v>
      </c>
      <c r="C86" s="21" t="s">
        <v>235</v>
      </c>
      <c r="D86" s="21" t="s">
        <v>307</v>
      </c>
      <c r="E86" s="35" t="n">
        <v>320500</v>
      </c>
      <c r="F86" s="35" t="n">
        <v>0</v>
      </c>
      <c r="G86" s="35" t="n">
        <v>70052399</v>
      </c>
      <c r="H86" s="36" t="s">
        <v>287</v>
      </c>
    </row>
    <row r="87" customFormat="false" ht="17.15" hidden="false" customHeight="false" outlineLevel="0" collapsed="false">
      <c r="A87" s="30" t="s">
        <v>129</v>
      </c>
      <c r="B87" s="29" t="s">
        <v>308</v>
      </c>
      <c r="C87" s="30" t="s">
        <v>131</v>
      </c>
      <c r="D87" s="29" t="s">
        <v>63</v>
      </c>
      <c r="E87" s="33" t="n">
        <v>0</v>
      </c>
      <c r="F87" s="33" t="n">
        <v>583000</v>
      </c>
      <c r="G87" s="33" t="n">
        <v>70372899</v>
      </c>
      <c r="H87" s="34" t="s">
        <v>132</v>
      </c>
    </row>
    <row r="88" customFormat="false" ht="17.15" hidden="false" customHeight="false" outlineLevel="0" collapsed="false">
      <c r="A88" s="30" t="s">
        <v>129</v>
      </c>
      <c r="B88" s="29" t="s">
        <v>309</v>
      </c>
      <c r="C88" s="30" t="s">
        <v>131</v>
      </c>
      <c r="D88" s="29" t="s">
        <v>63</v>
      </c>
      <c r="E88" s="33" t="n">
        <v>0</v>
      </c>
      <c r="F88" s="33" t="n">
        <v>731720</v>
      </c>
      <c r="G88" s="33" t="n">
        <v>69789899</v>
      </c>
      <c r="H88" s="34" t="s">
        <v>132</v>
      </c>
    </row>
    <row r="89" customFormat="false" ht="17.15" hidden="false" customHeight="false" outlineLevel="0" collapsed="false">
      <c r="A89" s="30" t="s">
        <v>129</v>
      </c>
      <c r="B89" s="29" t="s">
        <v>310</v>
      </c>
      <c r="C89" s="30" t="s">
        <v>131</v>
      </c>
      <c r="D89" s="30" t="s">
        <v>311</v>
      </c>
      <c r="E89" s="33" t="n">
        <v>0</v>
      </c>
      <c r="F89" s="33" t="n">
        <v>1244870</v>
      </c>
      <c r="G89" s="33" t="n">
        <v>69058179</v>
      </c>
      <c r="H89" s="34" t="s">
        <v>132</v>
      </c>
    </row>
    <row r="90" customFormat="false" ht="17.15" hidden="false" customHeight="false" outlineLevel="0" collapsed="false">
      <c r="A90" s="30" t="s">
        <v>129</v>
      </c>
      <c r="B90" s="29" t="s">
        <v>312</v>
      </c>
      <c r="C90" s="30" t="s">
        <v>131</v>
      </c>
      <c r="D90" s="29" t="s">
        <v>67</v>
      </c>
      <c r="E90" s="33" t="n">
        <v>0</v>
      </c>
      <c r="F90" s="33" t="n">
        <v>232386</v>
      </c>
      <c r="G90" s="33" t="n">
        <v>67813309</v>
      </c>
      <c r="H90" s="34" t="s">
        <v>132</v>
      </c>
    </row>
    <row r="91" customFormat="false" ht="17.15" hidden="false" customHeight="false" outlineLevel="0" collapsed="false">
      <c r="A91" s="30" t="s">
        <v>129</v>
      </c>
      <c r="B91" s="29" t="s">
        <v>313</v>
      </c>
      <c r="C91" s="30" t="s">
        <v>131</v>
      </c>
      <c r="D91" s="30" t="s">
        <v>56</v>
      </c>
      <c r="E91" s="33" t="n">
        <v>0</v>
      </c>
      <c r="F91" s="33" t="n">
        <v>1651623</v>
      </c>
      <c r="G91" s="33" t="n">
        <v>67580923</v>
      </c>
      <c r="H91" s="34" t="s">
        <v>132</v>
      </c>
    </row>
    <row r="92" customFormat="false" ht="17.15" hidden="false" customHeight="false" outlineLevel="0" collapsed="false">
      <c r="A92" s="30" t="s">
        <v>129</v>
      </c>
      <c r="B92" s="29" t="s">
        <v>314</v>
      </c>
      <c r="C92" s="30" t="s">
        <v>131</v>
      </c>
      <c r="D92" s="30" t="s">
        <v>57</v>
      </c>
      <c r="E92" s="33" t="n">
        <v>0</v>
      </c>
      <c r="F92" s="33" t="n">
        <v>2454045</v>
      </c>
      <c r="G92" s="33" t="n">
        <v>65929300</v>
      </c>
      <c r="H92" s="34" t="s">
        <v>132</v>
      </c>
    </row>
    <row r="93" customFormat="false" ht="17.15" hidden="false" customHeight="false" outlineLevel="0" collapsed="false">
      <c r="A93" s="30" t="s">
        <v>129</v>
      </c>
      <c r="B93" s="29" t="s">
        <v>315</v>
      </c>
      <c r="C93" s="30" t="s">
        <v>131</v>
      </c>
      <c r="D93" s="29" t="s">
        <v>62</v>
      </c>
      <c r="E93" s="33" t="n">
        <v>0</v>
      </c>
      <c r="F93" s="33" t="n">
        <v>1112045</v>
      </c>
      <c r="G93" s="33" t="n">
        <v>63475255</v>
      </c>
      <c r="H93" s="34" t="s">
        <v>132</v>
      </c>
    </row>
    <row r="94" customFormat="false" ht="17.15" hidden="false" customHeight="false" outlineLevel="0" collapsed="false">
      <c r="A94" s="30" t="s">
        <v>129</v>
      </c>
      <c r="B94" s="29" t="s">
        <v>316</v>
      </c>
      <c r="C94" s="30" t="s">
        <v>131</v>
      </c>
      <c r="D94" s="29" t="s">
        <v>58</v>
      </c>
      <c r="E94" s="33" t="n">
        <v>0</v>
      </c>
      <c r="F94" s="33" t="n">
        <v>3827989</v>
      </c>
      <c r="G94" s="33" t="n">
        <v>62363210</v>
      </c>
      <c r="H94" s="34" t="s">
        <v>132</v>
      </c>
    </row>
    <row r="95" customFormat="false" ht="17.15" hidden="false" customHeight="false" outlineLevel="0" collapsed="false">
      <c r="A95" s="21" t="s">
        <v>129</v>
      </c>
      <c r="B95" s="15" t="s">
        <v>317</v>
      </c>
      <c r="C95" s="15" t="s">
        <v>170</v>
      </c>
      <c r="D95" s="21" t="s">
        <v>318</v>
      </c>
      <c r="E95" s="35" t="n">
        <v>250000</v>
      </c>
      <c r="F95" s="35" t="n">
        <v>0</v>
      </c>
      <c r="G95" s="35" t="n">
        <v>58535221</v>
      </c>
      <c r="H95" s="36" t="s">
        <v>172</v>
      </c>
    </row>
    <row r="96" customFormat="false" ht="17.15" hidden="false" customHeight="false" outlineLevel="0" collapsed="false">
      <c r="A96" s="21" t="s">
        <v>129</v>
      </c>
      <c r="B96" s="15" t="s">
        <v>319</v>
      </c>
      <c r="C96" s="15" t="s">
        <v>174</v>
      </c>
      <c r="D96" s="15" t="s">
        <v>175</v>
      </c>
      <c r="E96" s="35" t="n">
        <v>121000</v>
      </c>
      <c r="F96" s="35" t="n">
        <v>0</v>
      </c>
      <c r="G96" s="35" t="n">
        <v>58785221</v>
      </c>
      <c r="H96" s="37" t="s">
        <v>176</v>
      </c>
    </row>
    <row r="97" customFormat="false" ht="15" hidden="false" customHeight="false" outlineLevel="0" collapsed="false">
      <c r="A97" s="21" t="s">
        <v>129</v>
      </c>
      <c r="B97" s="15" t="s">
        <v>320</v>
      </c>
      <c r="C97" s="21" t="s">
        <v>163</v>
      </c>
      <c r="D97" s="15" t="s">
        <v>321</v>
      </c>
      <c r="E97" s="35" t="n">
        <v>6550</v>
      </c>
      <c r="F97" s="35" t="n">
        <v>0</v>
      </c>
      <c r="G97" s="35" t="n">
        <v>58906221</v>
      </c>
      <c r="H97" s="36" t="s">
        <v>165</v>
      </c>
    </row>
    <row r="98" customFormat="false" ht="15" hidden="false" customHeight="false" outlineLevel="0" collapsed="false">
      <c r="A98" s="21" t="s">
        <v>129</v>
      </c>
      <c r="B98" s="15" t="s">
        <v>322</v>
      </c>
      <c r="C98" s="21" t="s">
        <v>163</v>
      </c>
      <c r="D98" s="15" t="s">
        <v>323</v>
      </c>
      <c r="E98" s="35" t="n">
        <v>81060</v>
      </c>
      <c r="F98" s="35" t="n">
        <v>0</v>
      </c>
      <c r="G98" s="35" t="n">
        <v>58912771</v>
      </c>
      <c r="H98" s="36" t="s">
        <v>165</v>
      </c>
    </row>
    <row r="99" customFormat="false" ht="15" hidden="false" customHeight="false" outlineLevel="0" collapsed="false">
      <c r="A99" s="21" t="s">
        <v>129</v>
      </c>
      <c r="B99" s="15" t="s">
        <v>324</v>
      </c>
      <c r="C99" s="21" t="s">
        <v>163</v>
      </c>
      <c r="D99" s="15" t="s">
        <v>325</v>
      </c>
      <c r="E99" s="35" t="n">
        <v>5660</v>
      </c>
      <c r="F99" s="35" t="n">
        <v>0</v>
      </c>
      <c r="G99" s="35" t="n">
        <v>58993831</v>
      </c>
      <c r="H99" s="36" t="s">
        <v>165</v>
      </c>
    </row>
    <row r="100" customFormat="false" ht="15" hidden="false" customHeight="false" outlineLevel="0" collapsed="false">
      <c r="A100" s="21" t="s">
        <v>129</v>
      </c>
      <c r="B100" s="15" t="s">
        <v>326</v>
      </c>
      <c r="C100" s="21" t="s">
        <v>182</v>
      </c>
      <c r="D100" s="21" t="s">
        <v>183</v>
      </c>
      <c r="E100" s="35" t="n">
        <v>1027950</v>
      </c>
      <c r="F100" s="35" t="n">
        <v>0</v>
      </c>
      <c r="G100" s="35" t="n">
        <v>58999491</v>
      </c>
      <c r="H100" s="36" t="s">
        <v>184</v>
      </c>
    </row>
    <row r="101" customFormat="false" ht="17.15" hidden="false" customHeight="false" outlineLevel="0" collapsed="false">
      <c r="A101" s="21" t="s">
        <v>129</v>
      </c>
      <c r="B101" s="15" t="s">
        <v>327</v>
      </c>
      <c r="C101" s="21" t="s">
        <v>217</v>
      </c>
      <c r="D101" s="21" t="s">
        <v>328</v>
      </c>
      <c r="E101" s="35" t="n">
        <v>29284630</v>
      </c>
      <c r="F101" s="35" t="n">
        <v>0</v>
      </c>
      <c r="G101" s="35" t="n">
        <v>60027441</v>
      </c>
      <c r="H101" s="36" t="s">
        <v>329</v>
      </c>
    </row>
    <row r="102" customFormat="false" ht="15" hidden="false" customHeight="false" outlineLevel="0" collapsed="false">
      <c r="A102" s="21" t="s">
        <v>129</v>
      </c>
      <c r="B102" s="15" t="s">
        <v>330</v>
      </c>
      <c r="C102" s="21" t="s">
        <v>217</v>
      </c>
      <c r="D102" s="21" t="s">
        <v>331</v>
      </c>
      <c r="E102" s="35" t="n">
        <v>262800</v>
      </c>
      <c r="F102" s="35" t="n">
        <v>0</v>
      </c>
      <c r="G102" s="35" t="n">
        <v>89312071</v>
      </c>
      <c r="H102" s="36" t="s">
        <v>219</v>
      </c>
    </row>
    <row r="103" customFormat="false" ht="17.15" hidden="false" customHeight="false" outlineLevel="0" collapsed="false">
      <c r="A103" s="30" t="s">
        <v>129</v>
      </c>
      <c r="B103" s="29" t="s">
        <v>332</v>
      </c>
      <c r="C103" s="30" t="s">
        <v>206</v>
      </c>
      <c r="D103" s="30" t="s">
        <v>333</v>
      </c>
      <c r="E103" s="33" t="n">
        <v>0</v>
      </c>
      <c r="F103" s="33" t="n">
        <v>1072440</v>
      </c>
      <c r="G103" s="33" t="n">
        <v>89574871</v>
      </c>
      <c r="H103" s="34" t="s">
        <v>334</v>
      </c>
    </row>
    <row r="104" customFormat="false" ht="15" hidden="false" customHeight="false" outlineLevel="0" collapsed="false">
      <c r="A104" s="21" t="s">
        <v>129</v>
      </c>
      <c r="B104" s="15" t="s">
        <v>335</v>
      </c>
      <c r="C104" s="21" t="s">
        <v>217</v>
      </c>
      <c r="D104" s="21" t="s">
        <v>336</v>
      </c>
      <c r="E104" s="35" t="n">
        <v>903200</v>
      </c>
      <c r="F104" s="35" t="n">
        <v>0</v>
      </c>
      <c r="G104" s="35" t="n">
        <v>88502431</v>
      </c>
      <c r="H104" s="36" t="s">
        <v>219</v>
      </c>
    </row>
    <row r="105" customFormat="false" ht="17.15" hidden="false" customHeight="false" outlineLevel="0" collapsed="false">
      <c r="A105" s="30" t="s">
        <v>129</v>
      </c>
      <c r="B105" s="29" t="s">
        <v>337</v>
      </c>
      <c r="C105" s="30" t="s">
        <v>136</v>
      </c>
      <c r="D105" s="30" t="s">
        <v>338</v>
      </c>
      <c r="E105" s="33" t="n">
        <v>11770000</v>
      </c>
      <c r="F105" s="33" t="n">
        <v>0</v>
      </c>
      <c r="G105" s="33" t="n">
        <v>89405631</v>
      </c>
      <c r="H105" s="34" t="s">
        <v>168</v>
      </c>
    </row>
    <row r="106" customFormat="false" ht="17.15" hidden="false" customHeight="false" outlineLevel="0" collapsed="false">
      <c r="A106" s="21" t="s">
        <v>129</v>
      </c>
      <c r="B106" s="15" t="s">
        <v>339</v>
      </c>
      <c r="C106" s="15" t="s">
        <v>170</v>
      </c>
      <c r="D106" s="15" t="s">
        <v>340</v>
      </c>
      <c r="E106" s="35" t="n">
        <v>173900</v>
      </c>
      <c r="F106" s="35" t="n">
        <v>0</v>
      </c>
      <c r="G106" s="35" t="n">
        <v>101175631</v>
      </c>
      <c r="H106" s="36" t="s">
        <v>187</v>
      </c>
    </row>
    <row r="107" customFormat="false" ht="17.15" hidden="false" customHeight="false" outlineLevel="0" collapsed="false">
      <c r="A107" s="21" t="s">
        <v>129</v>
      </c>
      <c r="B107" s="15" t="s">
        <v>339</v>
      </c>
      <c r="C107" s="15" t="s">
        <v>170</v>
      </c>
      <c r="D107" s="15" t="s">
        <v>341</v>
      </c>
      <c r="E107" s="35" t="n">
        <v>173900</v>
      </c>
      <c r="F107" s="35" t="n">
        <v>0</v>
      </c>
      <c r="G107" s="35" t="n">
        <v>101349531</v>
      </c>
      <c r="H107" s="36" t="s">
        <v>187</v>
      </c>
    </row>
    <row r="108" customFormat="false" ht="17.15" hidden="false" customHeight="false" outlineLevel="0" collapsed="false">
      <c r="A108" s="21" t="s">
        <v>129</v>
      </c>
      <c r="B108" s="15" t="s">
        <v>342</v>
      </c>
      <c r="C108" s="15" t="s">
        <v>170</v>
      </c>
      <c r="D108" s="15" t="s">
        <v>343</v>
      </c>
      <c r="E108" s="35" t="n">
        <v>173900</v>
      </c>
      <c r="F108" s="35" t="n">
        <v>0</v>
      </c>
      <c r="G108" s="35" t="n">
        <v>101523431</v>
      </c>
      <c r="H108" s="36" t="s">
        <v>187</v>
      </c>
    </row>
    <row r="109" customFormat="false" ht="17.15" hidden="false" customHeight="false" outlineLevel="0" collapsed="false">
      <c r="A109" s="21" t="s">
        <v>129</v>
      </c>
      <c r="B109" s="15" t="s">
        <v>342</v>
      </c>
      <c r="C109" s="15" t="s">
        <v>170</v>
      </c>
      <c r="D109" s="15" t="s">
        <v>344</v>
      </c>
      <c r="E109" s="35" t="n">
        <v>173900</v>
      </c>
      <c r="F109" s="35" t="n">
        <v>0</v>
      </c>
      <c r="G109" s="35" t="n">
        <v>101697331</v>
      </c>
      <c r="H109" s="36" t="s">
        <v>187</v>
      </c>
    </row>
    <row r="110" customFormat="false" ht="17.15" hidden="false" customHeight="false" outlineLevel="0" collapsed="false">
      <c r="A110" s="21" t="s">
        <v>129</v>
      </c>
      <c r="B110" s="15" t="s">
        <v>342</v>
      </c>
      <c r="C110" s="15" t="s">
        <v>170</v>
      </c>
      <c r="D110" s="15" t="s">
        <v>345</v>
      </c>
      <c r="E110" s="35" t="n">
        <v>175000</v>
      </c>
      <c r="F110" s="35" t="n">
        <v>0</v>
      </c>
      <c r="G110" s="35" t="n">
        <v>101871231</v>
      </c>
      <c r="H110" s="36" t="s">
        <v>187</v>
      </c>
    </row>
    <row r="111" customFormat="false" ht="17.15" hidden="false" customHeight="false" outlineLevel="0" collapsed="false">
      <c r="A111" s="30" t="s">
        <v>129</v>
      </c>
      <c r="B111" s="29" t="s">
        <v>346</v>
      </c>
      <c r="C111" s="30" t="s">
        <v>131</v>
      </c>
      <c r="D111" s="29" t="s">
        <v>54</v>
      </c>
      <c r="E111" s="33" t="n">
        <v>0</v>
      </c>
      <c r="F111" s="33" t="n">
        <v>40101292</v>
      </c>
      <c r="G111" s="33" t="n">
        <v>102046231</v>
      </c>
      <c r="H111" s="34" t="s">
        <v>132</v>
      </c>
    </row>
    <row r="112" customFormat="false" ht="17.15" hidden="false" customHeight="false" outlineLevel="0" collapsed="false">
      <c r="A112" s="30" t="s">
        <v>129</v>
      </c>
      <c r="B112" s="29" t="s">
        <v>347</v>
      </c>
      <c r="C112" s="30" t="s">
        <v>131</v>
      </c>
      <c r="D112" s="29" t="s">
        <v>64</v>
      </c>
      <c r="E112" s="33" t="n">
        <v>0</v>
      </c>
      <c r="F112" s="33" t="n">
        <v>2016542</v>
      </c>
      <c r="G112" s="33" t="n">
        <v>61944939</v>
      </c>
      <c r="H112" s="34" t="s">
        <v>132</v>
      </c>
    </row>
    <row r="113" customFormat="false" ht="17.15" hidden="false" customHeight="false" outlineLevel="0" collapsed="false">
      <c r="A113" s="21" t="s">
        <v>129</v>
      </c>
      <c r="B113" s="15" t="s">
        <v>348</v>
      </c>
      <c r="C113" s="21" t="s">
        <v>206</v>
      </c>
      <c r="D113" s="21" t="s">
        <v>207</v>
      </c>
      <c r="E113" s="35" t="n">
        <v>341940</v>
      </c>
      <c r="F113" s="35" t="n">
        <v>0</v>
      </c>
      <c r="G113" s="35" t="n">
        <v>59928397</v>
      </c>
      <c r="H113" s="36" t="s">
        <v>208</v>
      </c>
    </row>
    <row r="114" customFormat="false" ht="17.15" hidden="false" customHeight="false" outlineLevel="0" collapsed="false">
      <c r="A114" s="30" t="s">
        <v>129</v>
      </c>
      <c r="B114" s="29" t="s">
        <v>349</v>
      </c>
      <c r="C114" s="30" t="s">
        <v>131</v>
      </c>
      <c r="D114" s="30" t="s">
        <v>221</v>
      </c>
      <c r="E114" s="33" t="n">
        <v>0</v>
      </c>
      <c r="F114" s="33" t="n">
        <v>2846305</v>
      </c>
      <c r="G114" s="33" t="n">
        <v>60270337</v>
      </c>
      <c r="H114" s="34" t="s">
        <v>132</v>
      </c>
    </row>
    <row r="115" customFormat="false" ht="17.15" hidden="false" customHeight="false" outlineLevel="0" collapsed="false">
      <c r="A115" s="21" t="s">
        <v>129</v>
      </c>
      <c r="B115" s="15" t="s">
        <v>350</v>
      </c>
      <c r="C115" s="15" t="s">
        <v>170</v>
      </c>
      <c r="D115" s="21" t="s">
        <v>351</v>
      </c>
      <c r="E115" s="35" t="n">
        <v>29700</v>
      </c>
      <c r="F115" s="35" t="n">
        <v>0</v>
      </c>
      <c r="G115" s="35" t="n">
        <v>57424032</v>
      </c>
      <c r="H115" s="36" t="s">
        <v>212</v>
      </c>
    </row>
    <row r="116" customFormat="false" ht="17.15" hidden="false" customHeight="false" outlineLevel="0" collapsed="false">
      <c r="A116" s="21" t="s">
        <v>129</v>
      </c>
      <c r="B116" s="15" t="s">
        <v>352</v>
      </c>
      <c r="C116" s="15" t="s">
        <v>170</v>
      </c>
      <c r="D116" s="21" t="s">
        <v>353</v>
      </c>
      <c r="E116" s="35" t="n">
        <v>42764</v>
      </c>
      <c r="F116" s="35" t="n">
        <v>0</v>
      </c>
      <c r="G116" s="35" t="n">
        <v>57453732</v>
      </c>
      <c r="H116" s="36" t="s">
        <v>212</v>
      </c>
    </row>
    <row r="117" customFormat="false" ht="15" hidden="false" customHeight="false" outlineLevel="0" collapsed="false">
      <c r="A117" s="21" t="s">
        <v>129</v>
      </c>
      <c r="B117" s="15" t="s">
        <v>354</v>
      </c>
      <c r="C117" s="21" t="s">
        <v>217</v>
      </c>
      <c r="D117" s="21" t="s">
        <v>355</v>
      </c>
      <c r="E117" s="35" t="n">
        <v>117900</v>
      </c>
      <c r="F117" s="35" t="n">
        <v>0</v>
      </c>
      <c r="G117" s="35" t="n">
        <v>57496496</v>
      </c>
      <c r="H117" s="36" t="s">
        <v>219</v>
      </c>
    </row>
    <row r="118" customFormat="false" ht="15" hidden="false" customHeight="false" outlineLevel="0" collapsed="false">
      <c r="A118" s="21" t="s">
        <v>129</v>
      </c>
      <c r="B118" s="15" t="s">
        <v>356</v>
      </c>
      <c r="C118" s="21" t="s">
        <v>217</v>
      </c>
      <c r="D118" s="21" t="s">
        <v>357</v>
      </c>
      <c r="E118" s="35" t="n">
        <v>1178520</v>
      </c>
      <c r="F118" s="35" t="n">
        <v>0</v>
      </c>
      <c r="G118" s="35" t="n">
        <v>57614396</v>
      </c>
      <c r="H118" s="36" t="s">
        <v>219</v>
      </c>
    </row>
    <row r="119" customFormat="false" ht="17.15" hidden="false" customHeight="false" outlineLevel="0" collapsed="false">
      <c r="A119" s="21" t="s">
        <v>129</v>
      </c>
      <c r="B119" s="15" t="s">
        <v>356</v>
      </c>
      <c r="C119" s="21" t="s">
        <v>136</v>
      </c>
      <c r="D119" s="21" t="s">
        <v>358</v>
      </c>
      <c r="E119" s="35" t="n">
        <v>1896180</v>
      </c>
      <c r="F119" s="35" t="n">
        <v>0</v>
      </c>
      <c r="G119" s="35" t="n">
        <v>58792916</v>
      </c>
      <c r="H119" s="36" t="s">
        <v>224</v>
      </c>
    </row>
    <row r="120" customFormat="false" ht="17.15" hidden="false" customHeight="false" outlineLevel="0" collapsed="false">
      <c r="A120" s="21" t="s">
        <v>129</v>
      </c>
      <c r="B120" s="15" t="s">
        <v>359</v>
      </c>
      <c r="C120" s="21" t="s">
        <v>226</v>
      </c>
      <c r="D120" s="21" t="s">
        <v>358</v>
      </c>
      <c r="E120" s="35" t="n">
        <v>1859840</v>
      </c>
      <c r="F120" s="35" t="n">
        <v>0</v>
      </c>
      <c r="G120" s="35" t="n">
        <v>60689096</v>
      </c>
      <c r="H120" s="36" t="s">
        <v>224</v>
      </c>
    </row>
    <row r="121" customFormat="false" ht="17.15" hidden="false" customHeight="false" outlineLevel="0" collapsed="false">
      <c r="A121" s="21" t="s">
        <v>129</v>
      </c>
      <c r="B121" s="15" t="s">
        <v>360</v>
      </c>
      <c r="C121" s="21" t="s">
        <v>226</v>
      </c>
      <c r="D121" s="21" t="s">
        <v>361</v>
      </c>
      <c r="E121" s="35" t="n">
        <v>1844360</v>
      </c>
      <c r="F121" s="35" t="n">
        <v>0</v>
      </c>
      <c r="G121" s="35" t="n">
        <v>62548936</v>
      </c>
      <c r="H121" s="36" t="s">
        <v>224</v>
      </c>
    </row>
    <row r="122" customFormat="false" ht="17.15" hidden="false" customHeight="false" outlineLevel="0" collapsed="false">
      <c r="A122" s="21" t="s">
        <v>129</v>
      </c>
      <c r="B122" s="15" t="s">
        <v>362</v>
      </c>
      <c r="C122" s="21" t="s">
        <v>136</v>
      </c>
      <c r="D122" s="21" t="s">
        <v>363</v>
      </c>
      <c r="E122" s="35" t="n">
        <v>1861570</v>
      </c>
      <c r="F122" s="35" t="n">
        <v>0</v>
      </c>
      <c r="G122" s="35" t="n">
        <v>64393296</v>
      </c>
      <c r="H122" s="36" t="s">
        <v>224</v>
      </c>
    </row>
    <row r="123" customFormat="false" ht="17.15" hidden="false" customHeight="false" outlineLevel="0" collapsed="false">
      <c r="A123" s="21" t="s">
        <v>129</v>
      </c>
      <c r="B123" s="15" t="s">
        <v>364</v>
      </c>
      <c r="C123" s="21" t="s">
        <v>200</v>
      </c>
      <c r="D123" s="21" t="s">
        <v>358</v>
      </c>
      <c r="E123" s="35" t="n">
        <v>3952430</v>
      </c>
      <c r="F123" s="35" t="n">
        <v>0</v>
      </c>
      <c r="G123" s="35" t="n">
        <v>66254866</v>
      </c>
      <c r="H123" s="36" t="s">
        <v>224</v>
      </c>
    </row>
    <row r="124" customFormat="false" ht="17.15" hidden="false" customHeight="false" outlineLevel="0" collapsed="false">
      <c r="A124" s="21" t="s">
        <v>129</v>
      </c>
      <c r="B124" s="15" t="s">
        <v>364</v>
      </c>
      <c r="C124" s="21" t="s">
        <v>136</v>
      </c>
      <c r="D124" s="21" t="s">
        <v>358</v>
      </c>
      <c r="E124" s="35" t="n">
        <v>2060880</v>
      </c>
      <c r="F124" s="35" t="n">
        <v>0</v>
      </c>
      <c r="G124" s="35" t="n">
        <v>70207296</v>
      </c>
      <c r="H124" s="36" t="s">
        <v>224</v>
      </c>
    </row>
    <row r="125" customFormat="false" ht="17.15" hidden="false" customHeight="false" outlineLevel="0" collapsed="false">
      <c r="A125" s="21" t="s">
        <v>129</v>
      </c>
      <c r="B125" s="15" t="s">
        <v>365</v>
      </c>
      <c r="C125" s="21" t="s">
        <v>235</v>
      </c>
      <c r="D125" s="21" t="s">
        <v>358</v>
      </c>
      <c r="E125" s="35" t="n">
        <v>2174050</v>
      </c>
      <c r="F125" s="35" t="n">
        <v>0</v>
      </c>
      <c r="G125" s="35" t="n">
        <v>72268176</v>
      </c>
      <c r="H125" s="36" t="s">
        <v>224</v>
      </c>
    </row>
    <row r="126" customFormat="false" ht="17.15" hidden="false" customHeight="false" outlineLevel="0" collapsed="false">
      <c r="A126" s="21" t="s">
        <v>129</v>
      </c>
      <c r="B126" s="15" t="s">
        <v>366</v>
      </c>
      <c r="C126" s="21" t="s">
        <v>235</v>
      </c>
      <c r="D126" s="21" t="s">
        <v>358</v>
      </c>
      <c r="E126" s="35" t="n">
        <v>2929920</v>
      </c>
      <c r="F126" s="35" t="n">
        <v>0</v>
      </c>
      <c r="G126" s="35" t="n">
        <v>74442226</v>
      </c>
      <c r="H126" s="36" t="s">
        <v>224</v>
      </c>
    </row>
    <row r="127" customFormat="false" ht="17.15" hidden="false" customHeight="false" outlineLevel="0" collapsed="false">
      <c r="A127" s="21" t="s">
        <v>129</v>
      </c>
      <c r="B127" s="15" t="s">
        <v>367</v>
      </c>
      <c r="C127" s="21" t="s">
        <v>143</v>
      </c>
      <c r="D127" s="21" t="s">
        <v>358</v>
      </c>
      <c r="E127" s="35" t="n">
        <v>3222930</v>
      </c>
      <c r="F127" s="35" t="n">
        <v>0</v>
      </c>
      <c r="G127" s="35" t="n">
        <v>77372146</v>
      </c>
      <c r="H127" s="36" t="s">
        <v>224</v>
      </c>
    </row>
    <row r="128" customFormat="false" ht="17.15" hidden="false" customHeight="false" outlineLevel="0" collapsed="false">
      <c r="A128" s="21" t="s">
        <v>129</v>
      </c>
      <c r="B128" s="15" t="s">
        <v>368</v>
      </c>
      <c r="C128" s="21" t="s">
        <v>241</v>
      </c>
      <c r="D128" s="21" t="s">
        <v>358</v>
      </c>
      <c r="E128" s="35" t="n">
        <v>4568470</v>
      </c>
      <c r="F128" s="35" t="n">
        <v>0</v>
      </c>
      <c r="G128" s="35" t="n">
        <v>80595076</v>
      </c>
      <c r="H128" s="36" t="s">
        <v>224</v>
      </c>
    </row>
    <row r="129" customFormat="false" ht="17.15" hidden="false" customHeight="false" outlineLevel="0" collapsed="false">
      <c r="A129" s="21" t="s">
        <v>129</v>
      </c>
      <c r="B129" s="15" t="s">
        <v>368</v>
      </c>
      <c r="C129" s="21" t="s">
        <v>235</v>
      </c>
      <c r="D129" s="21" t="s">
        <v>358</v>
      </c>
      <c r="E129" s="35" t="n">
        <v>6695000</v>
      </c>
      <c r="F129" s="35" t="n">
        <v>0</v>
      </c>
      <c r="G129" s="35" t="n">
        <v>85163546</v>
      </c>
      <c r="H129" s="36" t="s">
        <v>224</v>
      </c>
    </row>
    <row r="130" customFormat="false" ht="17.15" hidden="false" customHeight="false" outlineLevel="0" collapsed="false">
      <c r="A130" s="21" t="s">
        <v>129</v>
      </c>
      <c r="B130" s="15" t="s">
        <v>369</v>
      </c>
      <c r="C130" s="21" t="s">
        <v>235</v>
      </c>
      <c r="D130" s="21" t="s">
        <v>358</v>
      </c>
      <c r="E130" s="35" t="n">
        <v>3217840</v>
      </c>
      <c r="F130" s="35" t="n">
        <v>0</v>
      </c>
      <c r="G130" s="35" t="n">
        <v>91858546</v>
      </c>
      <c r="H130" s="36" t="s">
        <v>224</v>
      </c>
    </row>
    <row r="131" customFormat="false" ht="17.15" hidden="false" customHeight="false" outlineLevel="0" collapsed="false">
      <c r="A131" s="21" t="s">
        <v>129</v>
      </c>
      <c r="B131" s="15" t="s">
        <v>370</v>
      </c>
      <c r="C131" s="21" t="s">
        <v>250</v>
      </c>
      <c r="D131" s="21" t="s">
        <v>251</v>
      </c>
      <c r="E131" s="35" t="n">
        <v>28780</v>
      </c>
      <c r="F131" s="35" t="n">
        <v>0</v>
      </c>
      <c r="G131" s="35" t="n">
        <v>95076386</v>
      </c>
      <c r="H131" s="36" t="s">
        <v>252</v>
      </c>
    </row>
    <row r="132" customFormat="false" ht="17.15" hidden="false" customHeight="false" outlineLevel="0" collapsed="false">
      <c r="A132" s="21" t="s">
        <v>129</v>
      </c>
      <c r="B132" s="15" t="s">
        <v>371</v>
      </c>
      <c r="C132" s="21" t="s">
        <v>250</v>
      </c>
      <c r="D132" s="21" t="s">
        <v>251</v>
      </c>
      <c r="E132" s="35" t="n">
        <v>30300</v>
      </c>
      <c r="F132" s="35" t="n">
        <v>0</v>
      </c>
      <c r="G132" s="35" t="n">
        <v>95105166</v>
      </c>
      <c r="H132" s="36" t="s">
        <v>252</v>
      </c>
    </row>
    <row r="133" customFormat="false" ht="17.15" hidden="false" customHeight="false" outlineLevel="0" collapsed="false">
      <c r="A133" s="30" t="s">
        <v>129</v>
      </c>
      <c r="B133" s="29" t="s">
        <v>372</v>
      </c>
      <c r="C133" s="30" t="s">
        <v>131</v>
      </c>
      <c r="D133" s="30" t="s">
        <v>60</v>
      </c>
      <c r="E133" s="33" t="n">
        <v>0</v>
      </c>
      <c r="F133" s="33" t="n">
        <v>1135860</v>
      </c>
      <c r="G133" s="33" t="n">
        <v>95135466</v>
      </c>
      <c r="H133" s="34" t="s">
        <v>132</v>
      </c>
    </row>
    <row r="134" customFormat="false" ht="17.15" hidden="false" customHeight="false" outlineLevel="0" collapsed="false">
      <c r="A134" s="21" t="s">
        <v>129</v>
      </c>
      <c r="B134" s="15" t="s">
        <v>373</v>
      </c>
      <c r="C134" s="21" t="s">
        <v>254</v>
      </c>
      <c r="D134" s="21" t="s">
        <v>374</v>
      </c>
      <c r="E134" s="35" t="n">
        <v>47200</v>
      </c>
      <c r="F134" s="35" t="n">
        <v>0</v>
      </c>
      <c r="G134" s="35" t="n">
        <v>93999606</v>
      </c>
      <c r="H134" s="37" t="s">
        <v>176</v>
      </c>
    </row>
    <row r="135" customFormat="false" ht="17.15" hidden="false" customHeight="false" outlineLevel="0" collapsed="false">
      <c r="A135" s="30" t="s">
        <v>129</v>
      </c>
      <c r="B135" s="29" t="s">
        <v>375</v>
      </c>
      <c r="C135" s="30" t="s">
        <v>131</v>
      </c>
      <c r="D135" s="30" t="s">
        <v>376</v>
      </c>
      <c r="E135" s="33" t="n">
        <v>0</v>
      </c>
      <c r="F135" s="33" t="n">
        <v>561000</v>
      </c>
      <c r="G135" s="33" t="n">
        <v>94046806</v>
      </c>
      <c r="H135" s="34" t="s">
        <v>132</v>
      </c>
    </row>
    <row r="136" customFormat="false" ht="17.15" hidden="false" customHeight="false" outlineLevel="0" collapsed="false">
      <c r="A136" s="30" t="s">
        <v>129</v>
      </c>
      <c r="B136" s="29" t="s">
        <v>377</v>
      </c>
      <c r="C136" s="30" t="s">
        <v>136</v>
      </c>
      <c r="D136" s="30" t="s">
        <v>378</v>
      </c>
      <c r="E136" s="33" t="n">
        <v>1540000</v>
      </c>
      <c r="F136" s="33" t="n">
        <v>0</v>
      </c>
      <c r="G136" s="33" t="n">
        <v>93485806</v>
      </c>
      <c r="H136" s="34" t="s">
        <v>168</v>
      </c>
    </row>
    <row r="137" customFormat="false" ht="17.15" hidden="false" customHeight="false" outlineLevel="0" collapsed="false">
      <c r="A137" s="21" t="s">
        <v>129</v>
      </c>
      <c r="B137" s="15" t="s">
        <v>377</v>
      </c>
      <c r="C137" s="21" t="s">
        <v>194</v>
      </c>
      <c r="D137" s="21" t="s">
        <v>379</v>
      </c>
      <c r="E137" s="35" t="n">
        <v>550000</v>
      </c>
      <c r="F137" s="35" t="n">
        <v>0</v>
      </c>
      <c r="G137" s="35" t="n">
        <v>95025806</v>
      </c>
      <c r="H137" s="36" t="s">
        <v>149</v>
      </c>
    </row>
    <row r="138" customFormat="false" ht="17.15" hidden="false" customHeight="false" outlineLevel="0" collapsed="false">
      <c r="A138" s="21" t="s">
        <v>129</v>
      </c>
      <c r="B138" s="15" t="s">
        <v>380</v>
      </c>
      <c r="C138" s="15" t="s">
        <v>170</v>
      </c>
      <c r="D138" s="21" t="s">
        <v>381</v>
      </c>
      <c r="E138" s="35" t="n">
        <v>20000</v>
      </c>
      <c r="F138" s="35" t="n">
        <v>0</v>
      </c>
      <c r="G138" s="35" t="n">
        <v>95575806</v>
      </c>
      <c r="H138" s="36" t="s">
        <v>212</v>
      </c>
    </row>
    <row r="139" customFormat="false" ht="17.15" hidden="false" customHeight="false" outlineLevel="0" collapsed="false">
      <c r="A139" s="30" t="s">
        <v>129</v>
      </c>
      <c r="B139" s="29" t="s">
        <v>382</v>
      </c>
      <c r="C139" s="30" t="s">
        <v>131</v>
      </c>
      <c r="D139" s="29" t="s">
        <v>66</v>
      </c>
      <c r="E139" s="33" t="n">
        <v>0</v>
      </c>
      <c r="F139" s="33" t="n">
        <v>485980</v>
      </c>
      <c r="G139" s="33" t="n">
        <v>95595806</v>
      </c>
      <c r="H139" s="34" t="s">
        <v>132</v>
      </c>
    </row>
    <row r="140" customFormat="false" ht="17.15" hidden="false" customHeight="false" outlineLevel="0" collapsed="false">
      <c r="A140" s="30" t="s">
        <v>129</v>
      </c>
      <c r="B140" s="29" t="s">
        <v>383</v>
      </c>
      <c r="C140" s="30" t="s">
        <v>131</v>
      </c>
      <c r="D140" s="30" t="s">
        <v>283</v>
      </c>
      <c r="E140" s="33" t="n">
        <v>0</v>
      </c>
      <c r="F140" s="33" t="n">
        <v>814660</v>
      </c>
      <c r="G140" s="33" t="n">
        <v>95109826</v>
      </c>
      <c r="H140" s="34" t="s">
        <v>132</v>
      </c>
    </row>
    <row r="141" customFormat="false" ht="17.15" hidden="false" customHeight="false" outlineLevel="0" collapsed="false">
      <c r="A141" s="30" t="s">
        <v>129</v>
      </c>
      <c r="B141" s="29" t="s">
        <v>384</v>
      </c>
      <c r="C141" s="30" t="s">
        <v>131</v>
      </c>
      <c r="D141" s="29" t="s">
        <v>385</v>
      </c>
      <c r="E141" s="33" t="n">
        <v>0</v>
      </c>
      <c r="F141" s="33" t="n">
        <v>330550</v>
      </c>
      <c r="G141" s="33" t="n">
        <v>94295166</v>
      </c>
      <c r="H141" s="34" t="s">
        <v>132</v>
      </c>
    </row>
    <row r="142" customFormat="false" ht="17.15" hidden="false" customHeight="false" outlineLevel="0" collapsed="false">
      <c r="A142" s="30" t="s">
        <v>129</v>
      </c>
      <c r="B142" s="29" t="s">
        <v>386</v>
      </c>
      <c r="C142" s="30" t="s">
        <v>131</v>
      </c>
      <c r="D142" s="29" t="s">
        <v>55</v>
      </c>
      <c r="E142" s="33" t="n">
        <v>0</v>
      </c>
      <c r="F142" s="33" t="n">
        <v>5981404</v>
      </c>
      <c r="G142" s="33" t="n">
        <v>93964616</v>
      </c>
      <c r="H142" s="34" t="s">
        <v>132</v>
      </c>
    </row>
    <row r="143" customFormat="false" ht="17.15" hidden="false" customHeight="false" outlineLevel="0" collapsed="false">
      <c r="A143" s="30" t="s">
        <v>129</v>
      </c>
      <c r="B143" s="29" t="s">
        <v>387</v>
      </c>
      <c r="C143" s="30" t="s">
        <v>131</v>
      </c>
      <c r="D143" s="30" t="s">
        <v>153</v>
      </c>
      <c r="E143" s="33" t="n">
        <v>0</v>
      </c>
      <c r="F143" s="33" t="n">
        <v>233420</v>
      </c>
      <c r="G143" s="33" t="n">
        <v>87983212</v>
      </c>
      <c r="H143" s="34" t="s">
        <v>132</v>
      </c>
    </row>
    <row r="144" customFormat="false" ht="17.15" hidden="false" customHeight="false" outlineLevel="0" collapsed="false">
      <c r="A144" s="30" t="s">
        <v>129</v>
      </c>
      <c r="B144" s="29" t="s">
        <v>388</v>
      </c>
      <c r="C144" s="30" t="s">
        <v>131</v>
      </c>
      <c r="D144" s="29" t="s">
        <v>68</v>
      </c>
      <c r="E144" s="33" t="n">
        <v>0</v>
      </c>
      <c r="F144" s="33" t="n">
        <v>1226885</v>
      </c>
      <c r="G144" s="33" t="n">
        <v>87749792</v>
      </c>
      <c r="H144" s="34" t="s">
        <v>132</v>
      </c>
    </row>
    <row r="145" customFormat="false" ht="17.15" hidden="false" customHeight="false" outlineLevel="0" collapsed="false">
      <c r="A145" s="21" t="s">
        <v>129</v>
      </c>
      <c r="B145" s="15" t="s">
        <v>389</v>
      </c>
      <c r="C145" s="21" t="s">
        <v>226</v>
      </c>
      <c r="D145" s="21" t="s">
        <v>390</v>
      </c>
      <c r="E145" s="35" t="n">
        <v>96180</v>
      </c>
      <c r="F145" s="35" t="n">
        <v>0</v>
      </c>
      <c r="G145" s="35" t="n">
        <v>86522907</v>
      </c>
      <c r="H145" s="37" t="s">
        <v>176</v>
      </c>
    </row>
    <row r="146" customFormat="false" ht="17.15" hidden="false" customHeight="false" outlineLevel="0" collapsed="false">
      <c r="A146" s="21" t="s">
        <v>129</v>
      </c>
      <c r="B146" s="15" t="s">
        <v>391</v>
      </c>
      <c r="C146" s="21" t="s">
        <v>194</v>
      </c>
      <c r="D146" s="21" t="s">
        <v>392</v>
      </c>
      <c r="E146" s="35" t="n">
        <v>341000</v>
      </c>
      <c r="F146" s="35" t="n">
        <v>0</v>
      </c>
      <c r="G146" s="35" t="n">
        <v>86619087</v>
      </c>
      <c r="H146" s="36" t="s">
        <v>149</v>
      </c>
    </row>
    <row r="147" customFormat="false" ht="17.15" hidden="false" customHeight="false" outlineLevel="0" collapsed="false">
      <c r="A147" s="21" t="s">
        <v>129</v>
      </c>
      <c r="B147" s="15" t="s">
        <v>393</v>
      </c>
      <c r="C147" s="21" t="s">
        <v>200</v>
      </c>
      <c r="D147" s="21" t="s">
        <v>394</v>
      </c>
      <c r="E147" s="35" t="n">
        <v>103000</v>
      </c>
      <c r="F147" s="35" t="n">
        <v>0</v>
      </c>
      <c r="G147" s="35" t="n">
        <v>86960087</v>
      </c>
      <c r="H147" s="37" t="s">
        <v>176</v>
      </c>
    </row>
    <row r="148" customFormat="false" ht="17.15" hidden="false" customHeight="false" outlineLevel="0" collapsed="false">
      <c r="A148" s="21" t="s">
        <v>129</v>
      </c>
      <c r="B148" s="15" t="s">
        <v>395</v>
      </c>
      <c r="C148" s="21" t="s">
        <v>194</v>
      </c>
      <c r="D148" s="21" t="s">
        <v>396</v>
      </c>
      <c r="E148" s="35" t="n">
        <v>1809500</v>
      </c>
      <c r="F148" s="35" t="n">
        <v>0</v>
      </c>
      <c r="G148" s="35" t="n">
        <v>87063087</v>
      </c>
      <c r="H148" s="36" t="s">
        <v>141</v>
      </c>
    </row>
    <row r="149" customFormat="false" ht="17.15" hidden="false" customHeight="false" outlineLevel="0" collapsed="false">
      <c r="A149" s="21" t="s">
        <v>129</v>
      </c>
      <c r="B149" s="15" t="s">
        <v>397</v>
      </c>
      <c r="C149" s="21" t="s">
        <v>200</v>
      </c>
      <c r="D149" s="21" t="s">
        <v>398</v>
      </c>
      <c r="E149" s="35" t="n">
        <v>198000</v>
      </c>
      <c r="F149" s="35" t="n">
        <v>0</v>
      </c>
      <c r="G149" s="35" t="n">
        <v>88872587</v>
      </c>
      <c r="H149" s="37" t="s">
        <v>176</v>
      </c>
    </row>
    <row r="150" customFormat="false" ht="17.15" hidden="false" customHeight="false" outlineLevel="0" collapsed="false">
      <c r="A150" s="21" t="s">
        <v>129</v>
      </c>
      <c r="B150" s="15" t="s">
        <v>399</v>
      </c>
      <c r="C150" s="21" t="s">
        <v>136</v>
      </c>
      <c r="D150" s="21" t="s">
        <v>400</v>
      </c>
      <c r="E150" s="35" t="n">
        <v>218900</v>
      </c>
      <c r="F150" s="35" t="n">
        <v>0</v>
      </c>
      <c r="G150" s="35" t="n">
        <v>89070587</v>
      </c>
      <c r="H150" s="36" t="s">
        <v>141</v>
      </c>
    </row>
    <row r="151" customFormat="false" ht="17.15" hidden="false" customHeight="false" outlineLevel="0" collapsed="false">
      <c r="A151" s="21" t="s">
        <v>129</v>
      </c>
      <c r="B151" s="15" t="s">
        <v>401</v>
      </c>
      <c r="C151" s="21" t="s">
        <v>143</v>
      </c>
      <c r="D151" s="21" t="s">
        <v>402</v>
      </c>
      <c r="E151" s="35" t="n">
        <v>1310100</v>
      </c>
      <c r="F151" s="35" t="n">
        <v>0</v>
      </c>
      <c r="G151" s="35" t="n">
        <v>89289487</v>
      </c>
      <c r="H151" s="37" t="s">
        <v>176</v>
      </c>
    </row>
    <row r="152" customFormat="false" ht="17.15" hidden="false" customHeight="false" outlineLevel="0" collapsed="false">
      <c r="A152" s="21" t="s">
        <v>129</v>
      </c>
      <c r="B152" s="15" t="s">
        <v>403</v>
      </c>
      <c r="C152" s="21" t="s">
        <v>136</v>
      </c>
      <c r="D152" s="21" t="s">
        <v>404</v>
      </c>
      <c r="E152" s="35" t="n">
        <v>295000</v>
      </c>
      <c r="F152" s="35" t="n">
        <v>0</v>
      </c>
      <c r="G152" s="35" t="n">
        <v>90599587</v>
      </c>
      <c r="H152" s="36" t="s">
        <v>149</v>
      </c>
    </row>
    <row r="153" customFormat="false" ht="17.15" hidden="false" customHeight="false" outlineLevel="0" collapsed="false">
      <c r="A153" s="21" t="s">
        <v>129</v>
      </c>
      <c r="B153" s="15" t="s">
        <v>405</v>
      </c>
      <c r="C153" s="21" t="s">
        <v>226</v>
      </c>
      <c r="D153" s="21" t="s">
        <v>406</v>
      </c>
      <c r="E153" s="35" t="n">
        <v>275910</v>
      </c>
      <c r="F153" s="35" t="n">
        <v>0</v>
      </c>
      <c r="G153" s="35" t="n">
        <v>90894587</v>
      </c>
      <c r="H153" s="36" t="s">
        <v>219</v>
      </c>
    </row>
    <row r="154" customFormat="false" ht="17.15" hidden="false" customHeight="false" outlineLevel="0" collapsed="false">
      <c r="A154" s="21" t="s">
        <v>129</v>
      </c>
      <c r="B154" s="15" t="s">
        <v>407</v>
      </c>
      <c r="C154" s="21" t="s">
        <v>226</v>
      </c>
      <c r="D154" s="21" t="s">
        <v>408</v>
      </c>
      <c r="E154" s="35" t="n">
        <v>220770</v>
      </c>
      <c r="F154" s="35" t="n">
        <v>0</v>
      </c>
      <c r="G154" s="35" t="n">
        <v>91170497</v>
      </c>
      <c r="H154" s="36" t="s">
        <v>219</v>
      </c>
    </row>
    <row r="155" customFormat="false" ht="17.15" hidden="false" customHeight="false" outlineLevel="0" collapsed="false">
      <c r="A155" s="30" t="s">
        <v>129</v>
      </c>
      <c r="B155" s="29" t="s">
        <v>409</v>
      </c>
      <c r="C155" s="30" t="s">
        <v>131</v>
      </c>
      <c r="D155" s="29" t="s">
        <v>67</v>
      </c>
      <c r="E155" s="33" t="n">
        <v>0</v>
      </c>
      <c r="F155" s="33" t="n">
        <v>918665</v>
      </c>
      <c r="G155" s="33" t="n">
        <v>91391267</v>
      </c>
      <c r="H155" s="34" t="s">
        <v>132</v>
      </c>
    </row>
    <row r="156" customFormat="false" ht="17.15" hidden="false" customHeight="false" outlineLevel="0" collapsed="false">
      <c r="A156" s="30" t="s">
        <v>129</v>
      </c>
      <c r="B156" s="29" t="s">
        <v>410</v>
      </c>
      <c r="C156" s="30" t="s">
        <v>131</v>
      </c>
      <c r="D156" s="30" t="s">
        <v>411</v>
      </c>
      <c r="E156" s="33" t="n">
        <v>0</v>
      </c>
      <c r="F156" s="33" t="n">
        <v>227040</v>
      </c>
      <c r="G156" s="33" t="n">
        <v>90472602</v>
      </c>
      <c r="H156" s="34" t="s">
        <v>132</v>
      </c>
    </row>
    <row r="157" customFormat="false" ht="17.15" hidden="false" customHeight="false" outlineLevel="0" collapsed="false">
      <c r="A157" s="30" t="s">
        <v>129</v>
      </c>
      <c r="B157" s="29" t="s">
        <v>412</v>
      </c>
      <c r="C157" s="30" t="s">
        <v>131</v>
      </c>
      <c r="D157" s="30" t="s">
        <v>311</v>
      </c>
      <c r="E157" s="33" t="n">
        <v>0</v>
      </c>
      <c r="F157" s="33" t="n">
        <v>6642702</v>
      </c>
      <c r="G157" s="33" t="n">
        <v>90245562</v>
      </c>
      <c r="H157" s="34" t="s">
        <v>132</v>
      </c>
    </row>
    <row r="158" customFormat="false" ht="17.15" hidden="false" customHeight="false" outlineLevel="0" collapsed="false">
      <c r="A158" s="30" t="s">
        <v>129</v>
      </c>
      <c r="B158" s="29" t="s">
        <v>413</v>
      </c>
      <c r="C158" s="30" t="s">
        <v>131</v>
      </c>
      <c r="D158" s="30" t="s">
        <v>57</v>
      </c>
      <c r="E158" s="33" t="n">
        <v>0</v>
      </c>
      <c r="F158" s="33" t="n">
        <v>2864301</v>
      </c>
      <c r="G158" s="33" t="n">
        <v>83602860</v>
      </c>
      <c r="H158" s="34" t="s">
        <v>132</v>
      </c>
    </row>
    <row r="159" customFormat="false" ht="15" hidden="false" customHeight="false" outlineLevel="0" collapsed="false">
      <c r="A159" s="21" t="s">
        <v>129</v>
      </c>
      <c r="B159" s="15" t="s">
        <v>414</v>
      </c>
      <c r="C159" s="21" t="s">
        <v>163</v>
      </c>
      <c r="D159" s="15" t="s">
        <v>415</v>
      </c>
      <c r="E159" s="35" t="n">
        <v>6550</v>
      </c>
      <c r="F159" s="35" t="n">
        <v>0</v>
      </c>
      <c r="G159" s="35" t="n">
        <v>80738559</v>
      </c>
      <c r="H159" s="36" t="s">
        <v>165</v>
      </c>
    </row>
    <row r="160" customFormat="false" ht="17.15" hidden="false" customHeight="false" outlineLevel="0" collapsed="false">
      <c r="A160" s="21" t="s">
        <v>129</v>
      </c>
      <c r="B160" s="15" t="s">
        <v>416</v>
      </c>
      <c r="C160" s="15" t="s">
        <v>170</v>
      </c>
      <c r="D160" s="21" t="s">
        <v>417</v>
      </c>
      <c r="E160" s="35" t="n">
        <v>250000</v>
      </c>
      <c r="F160" s="35" t="n">
        <v>0</v>
      </c>
      <c r="G160" s="35" t="n">
        <v>80745109</v>
      </c>
      <c r="H160" s="36" t="s">
        <v>172</v>
      </c>
    </row>
    <row r="161" customFormat="false" ht="17.15" hidden="false" customHeight="false" outlineLevel="0" collapsed="false">
      <c r="A161" s="21" t="s">
        <v>129</v>
      </c>
      <c r="B161" s="15" t="s">
        <v>418</v>
      </c>
      <c r="C161" s="15" t="s">
        <v>174</v>
      </c>
      <c r="D161" s="15" t="s">
        <v>175</v>
      </c>
      <c r="E161" s="35" t="n">
        <v>121000</v>
      </c>
      <c r="F161" s="35" t="n">
        <v>0</v>
      </c>
      <c r="G161" s="35" t="n">
        <v>80995109</v>
      </c>
      <c r="H161" s="37" t="s">
        <v>176</v>
      </c>
    </row>
    <row r="162" customFormat="false" ht="15" hidden="false" customHeight="false" outlineLevel="0" collapsed="false">
      <c r="A162" s="21" t="s">
        <v>129</v>
      </c>
      <c r="B162" s="15" t="s">
        <v>419</v>
      </c>
      <c r="C162" s="21" t="s">
        <v>163</v>
      </c>
      <c r="D162" s="15" t="s">
        <v>420</v>
      </c>
      <c r="E162" s="35" t="n">
        <v>80450</v>
      </c>
      <c r="F162" s="35" t="n">
        <v>0</v>
      </c>
      <c r="G162" s="35" t="n">
        <v>81116109</v>
      </c>
      <c r="H162" s="36" t="s">
        <v>165</v>
      </c>
    </row>
    <row r="163" customFormat="false" ht="15" hidden="false" customHeight="false" outlineLevel="0" collapsed="false">
      <c r="A163" s="21" t="s">
        <v>129</v>
      </c>
      <c r="B163" s="15" t="s">
        <v>421</v>
      </c>
      <c r="C163" s="21" t="s">
        <v>163</v>
      </c>
      <c r="D163" s="15" t="s">
        <v>422</v>
      </c>
      <c r="E163" s="35" t="n">
        <v>5660</v>
      </c>
      <c r="F163" s="35" t="n">
        <v>0</v>
      </c>
      <c r="G163" s="35" t="n">
        <v>81196559</v>
      </c>
      <c r="H163" s="36" t="s">
        <v>165</v>
      </c>
    </row>
    <row r="164" customFormat="false" ht="17.15" hidden="false" customHeight="false" outlineLevel="0" collapsed="false">
      <c r="A164" s="21" t="s">
        <v>129</v>
      </c>
      <c r="B164" s="15" t="s">
        <v>423</v>
      </c>
      <c r="C164" s="21" t="s">
        <v>200</v>
      </c>
      <c r="D164" s="15" t="s">
        <v>424</v>
      </c>
      <c r="E164" s="35" t="n">
        <v>217800</v>
      </c>
      <c r="F164" s="35" t="n">
        <v>0</v>
      </c>
      <c r="G164" s="35" t="n">
        <v>81202219</v>
      </c>
      <c r="H164" s="36" t="s">
        <v>425</v>
      </c>
    </row>
    <row r="165" customFormat="false" ht="17.15" hidden="false" customHeight="false" outlineLevel="0" collapsed="false">
      <c r="A165" s="30" t="s">
        <v>129</v>
      </c>
      <c r="B165" s="29" t="s">
        <v>426</v>
      </c>
      <c r="C165" s="30" t="s">
        <v>131</v>
      </c>
      <c r="D165" s="30" t="s">
        <v>427</v>
      </c>
      <c r="E165" s="33" t="n">
        <v>0</v>
      </c>
      <c r="F165" s="33" t="n">
        <v>1000000</v>
      </c>
      <c r="G165" s="33" t="n">
        <v>81420019</v>
      </c>
      <c r="H165" s="34" t="s">
        <v>132</v>
      </c>
    </row>
    <row r="166" customFormat="false" ht="17.15" hidden="false" customHeight="false" outlineLevel="0" collapsed="false">
      <c r="A166" s="30" t="s">
        <v>129</v>
      </c>
      <c r="B166" s="29" t="s">
        <v>428</v>
      </c>
      <c r="C166" s="30" t="s">
        <v>131</v>
      </c>
      <c r="D166" s="29" t="s">
        <v>58</v>
      </c>
      <c r="E166" s="33" t="n">
        <v>0</v>
      </c>
      <c r="F166" s="33" t="n">
        <v>6548058</v>
      </c>
      <c r="G166" s="33" t="n">
        <v>80420019</v>
      </c>
      <c r="H166" s="34" t="s">
        <v>132</v>
      </c>
    </row>
    <row r="167" customFormat="false" ht="17.15" hidden="false" customHeight="false" outlineLevel="0" collapsed="false">
      <c r="A167" s="30" t="s">
        <v>129</v>
      </c>
      <c r="B167" s="29" t="s">
        <v>429</v>
      </c>
      <c r="C167" s="30" t="s">
        <v>131</v>
      </c>
      <c r="D167" s="29" t="s">
        <v>62</v>
      </c>
      <c r="E167" s="33" t="n">
        <v>0</v>
      </c>
      <c r="F167" s="33" t="n">
        <v>1763960</v>
      </c>
      <c r="G167" s="33" t="n">
        <v>73871961</v>
      </c>
      <c r="H167" s="34" t="s">
        <v>132</v>
      </c>
    </row>
    <row r="168" customFormat="false" ht="15" hidden="false" customHeight="false" outlineLevel="0" collapsed="false">
      <c r="A168" s="21" t="s">
        <v>129</v>
      </c>
      <c r="B168" s="15" t="s">
        <v>430</v>
      </c>
      <c r="C168" s="21" t="s">
        <v>182</v>
      </c>
      <c r="D168" s="21" t="s">
        <v>183</v>
      </c>
      <c r="E168" s="35" t="n">
        <v>537490</v>
      </c>
      <c r="F168" s="35" t="n">
        <v>0</v>
      </c>
      <c r="G168" s="35" t="n">
        <v>72108001</v>
      </c>
      <c r="H168" s="36" t="s">
        <v>184</v>
      </c>
    </row>
    <row r="169" customFormat="false" ht="17.15" hidden="false" customHeight="false" outlineLevel="0" collapsed="false">
      <c r="A169" s="21" t="s">
        <v>129</v>
      </c>
      <c r="B169" s="15" t="s">
        <v>431</v>
      </c>
      <c r="C169" s="21" t="s">
        <v>136</v>
      </c>
      <c r="D169" s="21" t="s">
        <v>432</v>
      </c>
      <c r="E169" s="35" t="n">
        <v>205700</v>
      </c>
      <c r="F169" s="35" t="n">
        <v>0</v>
      </c>
      <c r="G169" s="35" t="n">
        <v>72645491</v>
      </c>
      <c r="H169" s="36" t="s">
        <v>141</v>
      </c>
    </row>
    <row r="170" customFormat="false" ht="17.15" hidden="false" customHeight="false" outlineLevel="0" collapsed="false">
      <c r="A170" s="21" t="s">
        <v>129</v>
      </c>
      <c r="B170" s="15" t="s">
        <v>433</v>
      </c>
      <c r="C170" s="15" t="s">
        <v>170</v>
      </c>
      <c r="D170" s="15" t="s">
        <v>434</v>
      </c>
      <c r="E170" s="35" t="n">
        <v>173900</v>
      </c>
      <c r="F170" s="35" t="n">
        <v>0</v>
      </c>
      <c r="G170" s="35" t="n">
        <v>72851191</v>
      </c>
      <c r="H170" s="36" t="s">
        <v>187</v>
      </c>
    </row>
    <row r="171" customFormat="false" ht="17.15" hidden="false" customHeight="false" outlineLevel="0" collapsed="false">
      <c r="A171" s="21" t="s">
        <v>129</v>
      </c>
      <c r="B171" s="15" t="s">
        <v>435</v>
      </c>
      <c r="C171" s="15" t="s">
        <v>170</v>
      </c>
      <c r="D171" s="15" t="s">
        <v>436</v>
      </c>
      <c r="E171" s="35" t="n">
        <v>173900</v>
      </c>
      <c r="F171" s="35" t="n">
        <v>0</v>
      </c>
      <c r="G171" s="35" t="n">
        <v>73025091</v>
      </c>
      <c r="H171" s="36" t="s">
        <v>187</v>
      </c>
    </row>
    <row r="172" customFormat="false" ht="17.15" hidden="false" customHeight="false" outlineLevel="0" collapsed="false">
      <c r="A172" s="21" t="s">
        <v>129</v>
      </c>
      <c r="B172" s="15" t="s">
        <v>435</v>
      </c>
      <c r="C172" s="15" t="s">
        <v>170</v>
      </c>
      <c r="D172" s="15" t="s">
        <v>437</v>
      </c>
      <c r="E172" s="35" t="n">
        <v>173900</v>
      </c>
      <c r="F172" s="35" t="n">
        <v>0</v>
      </c>
      <c r="G172" s="35" t="n">
        <v>73198991</v>
      </c>
      <c r="H172" s="36" t="s">
        <v>187</v>
      </c>
    </row>
    <row r="173" customFormat="false" ht="17.15" hidden="false" customHeight="false" outlineLevel="0" collapsed="false">
      <c r="A173" s="21" t="s">
        <v>129</v>
      </c>
      <c r="B173" s="15" t="s">
        <v>435</v>
      </c>
      <c r="C173" s="15" t="s">
        <v>170</v>
      </c>
      <c r="D173" s="15" t="s">
        <v>438</v>
      </c>
      <c r="E173" s="35" t="n">
        <v>173900</v>
      </c>
      <c r="F173" s="35" t="n">
        <v>0</v>
      </c>
      <c r="G173" s="35" t="n">
        <v>73372891</v>
      </c>
      <c r="H173" s="36" t="s">
        <v>187</v>
      </c>
    </row>
    <row r="174" customFormat="false" ht="17.15" hidden="false" customHeight="false" outlineLevel="0" collapsed="false">
      <c r="A174" s="21" t="s">
        <v>129</v>
      </c>
      <c r="B174" s="15" t="s">
        <v>435</v>
      </c>
      <c r="C174" s="15" t="s">
        <v>170</v>
      </c>
      <c r="D174" s="15" t="s">
        <v>439</v>
      </c>
      <c r="E174" s="35" t="n">
        <v>175000</v>
      </c>
      <c r="F174" s="35" t="n">
        <v>0</v>
      </c>
      <c r="G174" s="35" t="n">
        <v>73546791</v>
      </c>
      <c r="H174" s="36" t="s">
        <v>187</v>
      </c>
    </row>
    <row r="175" customFormat="false" ht="17.15" hidden="false" customHeight="false" outlineLevel="0" collapsed="false">
      <c r="A175" s="30" t="s">
        <v>129</v>
      </c>
      <c r="B175" s="29" t="s">
        <v>440</v>
      </c>
      <c r="C175" s="30" t="s">
        <v>441</v>
      </c>
      <c r="D175" s="29" t="s">
        <v>442</v>
      </c>
      <c r="E175" s="33" t="n">
        <v>0</v>
      </c>
      <c r="F175" s="33" t="n">
        <v>10064</v>
      </c>
      <c r="G175" s="33" t="n">
        <v>73721791</v>
      </c>
      <c r="H175" s="34" t="s">
        <v>443</v>
      </c>
    </row>
    <row r="176" customFormat="false" ht="17.15" hidden="false" customHeight="false" outlineLevel="0" collapsed="false">
      <c r="A176" s="21" t="s">
        <v>129</v>
      </c>
      <c r="B176" s="15" t="s">
        <v>444</v>
      </c>
      <c r="C176" s="21" t="s">
        <v>194</v>
      </c>
      <c r="D176" s="21" t="s">
        <v>445</v>
      </c>
      <c r="E176" s="35" t="n">
        <v>136400</v>
      </c>
      <c r="F176" s="35" t="n">
        <v>0</v>
      </c>
      <c r="G176" s="35" t="n">
        <v>73711727</v>
      </c>
      <c r="H176" s="37" t="s">
        <v>176</v>
      </c>
    </row>
    <row r="177" customFormat="false" ht="17.15" hidden="false" customHeight="false" outlineLevel="0" collapsed="false">
      <c r="A177" s="38" t="s">
        <v>129</v>
      </c>
      <c r="B177" s="39" t="s">
        <v>446</v>
      </c>
      <c r="C177" s="38" t="s">
        <v>235</v>
      </c>
      <c r="D177" s="38" t="s">
        <v>447</v>
      </c>
      <c r="E177" s="40" t="n">
        <v>731970</v>
      </c>
      <c r="F177" s="40" t="n">
        <v>0</v>
      </c>
      <c r="G177" s="40" t="n">
        <v>73848127</v>
      </c>
      <c r="H177" s="41" t="s">
        <v>448</v>
      </c>
    </row>
    <row r="178" customFormat="false" ht="17.15" hidden="false" customHeight="false" outlineLevel="0" collapsed="false">
      <c r="A178" s="30" t="s">
        <v>129</v>
      </c>
      <c r="B178" s="29" t="s">
        <v>449</v>
      </c>
      <c r="C178" s="30" t="s">
        <v>206</v>
      </c>
      <c r="D178" s="30" t="s">
        <v>450</v>
      </c>
      <c r="E178" s="33" t="n">
        <v>0</v>
      </c>
      <c r="F178" s="33" t="n">
        <v>731970</v>
      </c>
      <c r="G178" s="33" t="n">
        <v>74580097</v>
      </c>
      <c r="H178" s="34" t="s">
        <v>451</v>
      </c>
    </row>
    <row r="179" customFormat="false" ht="17.15" hidden="false" customHeight="false" outlineLevel="0" collapsed="false">
      <c r="A179" s="30" t="s">
        <v>129</v>
      </c>
      <c r="B179" s="29" t="s">
        <v>452</v>
      </c>
      <c r="C179" s="30" t="s">
        <v>226</v>
      </c>
      <c r="D179" s="30" t="s">
        <v>453</v>
      </c>
      <c r="E179" s="33" t="n">
        <v>5000000</v>
      </c>
      <c r="F179" s="33" t="n">
        <v>0</v>
      </c>
      <c r="G179" s="33" t="n">
        <v>73848127</v>
      </c>
      <c r="H179" s="34" t="s">
        <v>454</v>
      </c>
    </row>
    <row r="180" customFormat="false" ht="17.15" hidden="false" customHeight="false" outlineLevel="0" collapsed="false">
      <c r="A180" s="30" t="s">
        <v>129</v>
      </c>
      <c r="B180" s="29" t="s">
        <v>455</v>
      </c>
      <c r="C180" s="30" t="s">
        <v>131</v>
      </c>
      <c r="D180" s="29" t="s">
        <v>54</v>
      </c>
      <c r="E180" s="33" t="n">
        <v>0</v>
      </c>
      <c r="F180" s="33" t="n">
        <v>40447787</v>
      </c>
      <c r="G180" s="33" t="n">
        <v>78848127</v>
      </c>
      <c r="H180" s="34" t="s">
        <v>132</v>
      </c>
    </row>
    <row r="181" customFormat="false" ht="17.15" hidden="false" customHeight="false" outlineLevel="0" collapsed="false">
      <c r="A181" s="21" t="s">
        <v>129</v>
      </c>
      <c r="B181" s="15" t="s">
        <v>456</v>
      </c>
      <c r="C181" s="21" t="s">
        <v>143</v>
      </c>
      <c r="D181" s="21" t="s">
        <v>457</v>
      </c>
      <c r="E181" s="35" t="n">
        <v>55770</v>
      </c>
      <c r="F181" s="35" t="n">
        <v>0</v>
      </c>
      <c r="G181" s="35" t="n">
        <v>38400340</v>
      </c>
      <c r="H181" s="36" t="s">
        <v>425</v>
      </c>
    </row>
    <row r="182" customFormat="false" ht="17.15" hidden="false" customHeight="false" outlineLevel="0" collapsed="false">
      <c r="A182" s="30" t="s">
        <v>129</v>
      </c>
      <c r="B182" s="29" t="s">
        <v>458</v>
      </c>
      <c r="C182" s="30" t="s">
        <v>131</v>
      </c>
      <c r="D182" s="29" t="s">
        <v>64</v>
      </c>
      <c r="E182" s="33" t="n">
        <v>0</v>
      </c>
      <c r="F182" s="33" t="n">
        <v>621764</v>
      </c>
      <c r="G182" s="33" t="n">
        <v>38456110</v>
      </c>
      <c r="H182" s="34" t="s">
        <v>132</v>
      </c>
    </row>
    <row r="183" customFormat="false" ht="17.15" hidden="false" customHeight="false" outlineLevel="0" collapsed="false">
      <c r="A183" s="21" t="s">
        <v>129</v>
      </c>
      <c r="B183" s="15" t="s">
        <v>459</v>
      </c>
      <c r="C183" s="21" t="s">
        <v>206</v>
      </c>
      <c r="D183" s="21" t="s">
        <v>207</v>
      </c>
      <c r="E183" s="35" t="n">
        <v>341940</v>
      </c>
      <c r="F183" s="35" t="n">
        <v>0</v>
      </c>
      <c r="G183" s="35" t="n">
        <v>37834346</v>
      </c>
      <c r="H183" s="36" t="s">
        <v>208</v>
      </c>
    </row>
    <row r="184" customFormat="false" ht="17.15" hidden="false" customHeight="false" outlineLevel="0" collapsed="false">
      <c r="A184" s="21" t="s">
        <v>129</v>
      </c>
      <c r="B184" s="15" t="s">
        <v>460</v>
      </c>
      <c r="C184" s="15" t="s">
        <v>170</v>
      </c>
      <c r="D184" s="21" t="s">
        <v>461</v>
      </c>
      <c r="E184" s="35" t="n">
        <v>29700</v>
      </c>
      <c r="F184" s="35" t="n">
        <v>0</v>
      </c>
      <c r="G184" s="35" t="n">
        <v>38176286</v>
      </c>
      <c r="H184" s="36" t="s">
        <v>212</v>
      </c>
    </row>
    <row r="185" customFormat="false" ht="17.15" hidden="false" customHeight="false" outlineLevel="0" collapsed="false">
      <c r="A185" s="21" t="s">
        <v>129</v>
      </c>
      <c r="B185" s="15" t="s">
        <v>460</v>
      </c>
      <c r="C185" s="15" t="s">
        <v>170</v>
      </c>
      <c r="D185" s="21" t="s">
        <v>462</v>
      </c>
      <c r="E185" s="35" t="n">
        <v>42764</v>
      </c>
      <c r="F185" s="35" t="n">
        <v>0</v>
      </c>
      <c r="G185" s="35" t="n">
        <v>38205986</v>
      </c>
      <c r="H185" s="36" t="s">
        <v>212</v>
      </c>
    </row>
    <row r="186" customFormat="false" ht="17.15" hidden="false" customHeight="false" outlineLevel="0" collapsed="false">
      <c r="A186" s="30" t="s">
        <v>129</v>
      </c>
      <c r="B186" s="29" t="s">
        <v>463</v>
      </c>
      <c r="C186" s="30" t="s">
        <v>131</v>
      </c>
      <c r="D186" s="30" t="s">
        <v>221</v>
      </c>
      <c r="E186" s="33" t="n">
        <v>0</v>
      </c>
      <c r="F186" s="33" t="n">
        <v>680185</v>
      </c>
      <c r="G186" s="33" t="n">
        <v>38248750</v>
      </c>
      <c r="H186" s="34" t="s">
        <v>132</v>
      </c>
    </row>
    <row r="187" customFormat="false" ht="17.15" hidden="false" customHeight="false" outlineLevel="0" collapsed="false">
      <c r="A187" s="30" t="s">
        <v>129</v>
      </c>
      <c r="B187" s="29" t="s">
        <v>464</v>
      </c>
      <c r="C187" s="30" t="s">
        <v>131</v>
      </c>
      <c r="D187" s="30" t="s">
        <v>465</v>
      </c>
      <c r="E187" s="33" t="n">
        <v>0</v>
      </c>
      <c r="F187" s="33" t="n">
        <v>715275</v>
      </c>
      <c r="G187" s="33" t="n">
        <v>37568565</v>
      </c>
      <c r="H187" s="34" t="s">
        <v>132</v>
      </c>
    </row>
    <row r="188" customFormat="false" ht="17.15" hidden="false" customHeight="false" outlineLevel="0" collapsed="false">
      <c r="A188" s="21" t="s">
        <v>129</v>
      </c>
      <c r="B188" s="15" t="s">
        <v>466</v>
      </c>
      <c r="C188" s="21" t="s">
        <v>194</v>
      </c>
      <c r="D188" s="21" t="s">
        <v>467</v>
      </c>
      <c r="E188" s="35" t="n">
        <v>6695000</v>
      </c>
      <c r="F188" s="35" t="n">
        <v>0</v>
      </c>
      <c r="G188" s="35" t="n">
        <v>36853290</v>
      </c>
      <c r="H188" s="36" t="s">
        <v>224</v>
      </c>
    </row>
    <row r="189" customFormat="false" ht="17.15" hidden="false" customHeight="false" outlineLevel="0" collapsed="false">
      <c r="A189" s="21" t="s">
        <v>129</v>
      </c>
      <c r="B189" s="15" t="s">
        <v>468</v>
      </c>
      <c r="C189" s="21" t="s">
        <v>200</v>
      </c>
      <c r="D189" s="21" t="s">
        <v>469</v>
      </c>
      <c r="E189" s="35" t="n">
        <v>3952430</v>
      </c>
      <c r="F189" s="35" t="n">
        <v>0</v>
      </c>
      <c r="G189" s="35" t="n">
        <v>43548290</v>
      </c>
      <c r="H189" s="36" t="s">
        <v>224</v>
      </c>
    </row>
    <row r="190" customFormat="false" ht="17.15" hidden="false" customHeight="false" outlineLevel="0" collapsed="false">
      <c r="A190" s="21" t="s">
        <v>129</v>
      </c>
      <c r="B190" s="15" t="s">
        <v>470</v>
      </c>
      <c r="C190" s="21" t="s">
        <v>143</v>
      </c>
      <c r="D190" s="21" t="s">
        <v>471</v>
      </c>
      <c r="E190" s="35" t="n">
        <v>3289440</v>
      </c>
      <c r="F190" s="35" t="n">
        <v>0</v>
      </c>
      <c r="G190" s="35" t="n">
        <v>47500720</v>
      </c>
      <c r="H190" s="36" t="s">
        <v>224</v>
      </c>
    </row>
    <row r="191" customFormat="false" ht="17.15" hidden="false" customHeight="false" outlineLevel="0" collapsed="false">
      <c r="A191" s="21" t="s">
        <v>129</v>
      </c>
      <c r="B191" s="15" t="s">
        <v>470</v>
      </c>
      <c r="C191" s="21" t="s">
        <v>241</v>
      </c>
      <c r="D191" s="21" t="s">
        <v>472</v>
      </c>
      <c r="E191" s="35" t="n">
        <v>4568470</v>
      </c>
      <c r="F191" s="35" t="n">
        <v>0</v>
      </c>
      <c r="G191" s="35" t="n">
        <v>50790160</v>
      </c>
      <c r="H191" s="36" t="s">
        <v>224</v>
      </c>
    </row>
    <row r="192" customFormat="false" ht="17.15" hidden="false" customHeight="false" outlineLevel="0" collapsed="false">
      <c r="A192" s="21" t="s">
        <v>129</v>
      </c>
      <c r="B192" s="15" t="s">
        <v>473</v>
      </c>
      <c r="C192" s="21" t="s">
        <v>235</v>
      </c>
      <c r="D192" s="21" t="s">
        <v>474</v>
      </c>
      <c r="E192" s="35" t="n">
        <v>3221910</v>
      </c>
      <c r="F192" s="35" t="n">
        <v>0</v>
      </c>
      <c r="G192" s="35" t="n">
        <v>55358630</v>
      </c>
      <c r="H192" s="36" t="s">
        <v>224</v>
      </c>
    </row>
    <row r="193" customFormat="false" ht="17.15" hidden="false" customHeight="false" outlineLevel="0" collapsed="false">
      <c r="A193" s="21" t="s">
        <v>129</v>
      </c>
      <c r="B193" s="15" t="s">
        <v>475</v>
      </c>
      <c r="C193" s="21" t="s">
        <v>235</v>
      </c>
      <c r="D193" s="21" t="s">
        <v>476</v>
      </c>
      <c r="E193" s="35" t="n">
        <v>2929920</v>
      </c>
      <c r="F193" s="35" t="n">
        <v>0</v>
      </c>
      <c r="G193" s="35" t="n">
        <v>58580540</v>
      </c>
      <c r="H193" s="36" t="s">
        <v>224</v>
      </c>
    </row>
    <row r="194" customFormat="false" ht="17.15" hidden="false" customHeight="false" outlineLevel="0" collapsed="false">
      <c r="A194" s="21" t="s">
        <v>129</v>
      </c>
      <c r="B194" s="15" t="s">
        <v>475</v>
      </c>
      <c r="C194" s="21" t="s">
        <v>136</v>
      </c>
      <c r="D194" s="21" t="s">
        <v>477</v>
      </c>
      <c r="E194" s="35" t="n">
        <v>2249880</v>
      </c>
      <c r="F194" s="35" t="n">
        <v>0</v>
      </c>
      <c r="G194" s="35" t="n">
        <v>61510460</v>
      </c>
      <c r="H194" s="36" t="s">
        <v>224</v>
      </c>
    </row>
    <row r="195" customFormat="false" ht="17.15" hidden="false" customHeight="false" outlineLevel="0" collapsed="false">
      <c r="A195" s="21" t="s">
        <v>129</v>
      </c>
      <c r="B195" s="15" t="s">
        <v>478</v>
      </c>
      <c r="C195" s="21" t="s">
        <v>136</v>
      </c>
      <c r="D195" s="21" t="s">
        <v>479</v>
      </c>
      <c r="E195" s="35" t="n">
        <v>2124730</v>
      </c>
      <c r="F195" s="35" t="n">
        <v>0</v>
      </c>
      <c r="G195" s="35" t="n">
        <v>63760340</v>
      </c>
      <c r="H195" s="36" t="s">
        <v>224</v>
      </c>
    </row>
    <row r="196" customFormat="false" ht="17.15" hidden="false" customHeight="false" outlineLevel="0" collapsed="false">
      <c r="A196" s="21" t="s">
        <v>129</v>
      </c>
      <c r="B196" s="15" t="s">
        <v>480</v>
      </c>
      <c r="C196" s="21" t="s">
        <v>226</v>
      </c>
      <c r="D196" s="21" t="s">
        <v>481</v>
      </c>
      <c r="E196" s="35" t="n">
        <v>2107520</v>
      </c>
      <c r="F196" s="35" t="n">
        <v>0</v>
      </c>
      <c r="G196" s="35" t="n">
        <v>65885070</v>
      </c>
      <c r="H196" s="36" t="s">
        <v>224</v>
      </c>
    </row>
    <row r="197" customFormat="false" ht="17.15" hidden="false" customHeight="false" outlineLevel="0" collapsed="false">
      <c r="A197" s="21" t="s">
        <v>129</v>
      </c>
      <c r="B197" s="15" t="s">
        <v>480</v>
      </c>
      <c r="C197" s="21" t="s">
        <v>226</v>
      </c>
      <c r="D197" s="21" t="s">
        <v>482</v>
      </c>
      <c r="E197" s="35" t="n">
        <v>1612160</v>
      </c>
      <c r="F197" s="35" t="n">
        <v>0</v>
      </c>
      <c r="G197" s="35" t="n">
        <v>67992590</v>
      </c>
      <c r="H197" s="36" t="s">
        <v>224</v>
      </c>
    </row>
    <row r="198" customFormat="false" ht="17.15" hidden="false" customHeight="false" outlineLevel="0" collapsed="false">
      <c r="A198" s="21" t="s">
        <v>129</v>
      </c>
      <c r="B198" s="15" t="s">
        <v>483</v>
      </c>
      <c r="C198" s="21" t="s">
        <v>136</v>
      </c>
      <c r="D198" s="21" t="s">
        <v>484</v>
      </c>
      <c r="E198" s="35" t="n">
        <v>1572700</v>
      </c>
      <c r="F198" s="35" t="n">
        <v>0</v>
      </c>
      <c r="G198" s="35" t="n">
        <v>69604750</v>
      </c>
      <c r="H198" s="36" t="s">
        <v>224</v>
      </c>
    </row>
    <row r="199" customFormat="false" ht="17.15" hidden="false" customHeight="false" outlineLevel="0" collapsed="false">
      <c r="A199" s="21" t="s">
        <v>129</v>
      </c>
      <c r="B199" s="15" t="s">
        <v>485</v>
      </c>
      <c r="C199" s="21" t="s">
        <v>235</v>
      </c>
      <c r="D199" s="21" t="s">
        <v>486</v>
      </c>
      <c r="E199" s="35" t="n">
        <v>2275230</v>
      </c>
      <c r="F199" s="35" t="n">
        <v>0</v>
      </c>
      <c r="G199" s="35" t="n">
        <v>71177450</v>
      </c>
      <c r="H199" s="36" t="s">
        <v>224</v>
      </c>
    </row>
    <row r="200" customFormat="false" ht="17.15" hidden="false" customHeight="false" outlineLevel="0" collapsed="false">
      <c r="A200" s="21" t="s">
        <v>129</v>
      </c>
      <c r="B200" s="15" t="s">
        <v>487</v>
      </c>
      <c r="C200" s="21" t="s">
        <v>250</v>
      </c>
      <c r="D200" s="21" t="s">
        <v>251</v>
      </c>
      <c r="E200" s="35" t="n">
        <v>28780</v>
      </c>
      <c r="F200" s="35" t="n">
        <v>0</v>
      </c>
      <c r="G200" s="35" t="n">
        <v>73452680</v>
      </c>
      <c r="H200" s="36" t="s">
        <v>252</v>
      </c>
    </row>
    <row r="201" customFormat="false" ht="17.15" hidden="false" customHeight="false" outlineLevel="0" collapsed="false">
      <c r="A201" s="21" t="s">
        <v>129</v>
      </c>
      <c r="B201" s="15" t="s">
        <v>487</v>
      </c>
      <c r="C201" s="21" t="s">
        <v>250</v>
      </c>
      <c r="D201" s="21" t="s">
        <v>251</v>
      </c>
      <c r="E201" s="35" t="n">
        <v>30300</v>
      </c>
      <c r="F201" s="35" t="n">
        <v>0</v>
      </c>
      <c r="G201" s="35" t="n">
        <v>73481460</v>
      </c>
      <c r="H201" s="36" t="s">
        <v>252</v>
      </c>
    </row>
    <row r="202" customFormat="false" ht="17.15" hidden="false" customHeight="false" outlineLevel="0" collapsed="false">
      <c r="A202" s="21" t="s">
        <v>129</v>
      </c>
      <c r="B202" s="15" t="s">
        <v>488</v>
      </c>
      <c r="C202" s="21" t="s">
        <v>194</v>
      </c>
      <c r="D202" s="21" t="s">
        <v>489</v>
      </c>
      <c r="E202" s="35" t="n">
        <v>1000000</v>
      </c>
      <c r="F202" s="35" t="n">
        <v>0</v>
      </c>
      <c r="G202" s="35" t="n">
        <v>73511760</v>
      </c>
      <c r="H202" s="36" t="s">
        <v>202</v>
      </c>
    </row>
    <row r="203" customFormat="false" ht="17.15" hidden="false" customHeight="false" outlineLevel="0" collapsed="false">
      <c r="A203" s="21" t="s">
        <v>129</v>
      </c>
      <c r="B203" s="15" t="s">
        <v>490</v>
      </c>
      <c r="C203" s="21" t="s">
        <v>194</v>
      </c>
      <c r="D203" s="21" t="s">
        <v>491</v>
      </c>
      <c r="E203" s="35" t="n">
        <v>1980000</v>
      </c>
      <c r="F203" s="35" t="n">
        <v>0</v>
      </c>
      <c r="G203" s="35" t="n">
        <v>74511760</v>
      </c>
      <c r="H203" s="36" t="s">
        <v>492</v>
      </c>
    </row>
    <row r="204" customFormat="false" ht="17.15" hidden="false" customHeight="false" outlineLevel="0" collapsed="false">
      <c r="A204" s="21" t="s">
        <v>129</v>
      </c>
      <c r="B204" s="15" t="s">
        <v>490</v>
      </c>
      <c r="C204" s="21" t="s">
        <v>235</v>
      </c>
      <c r="D204" s="21" t="s">
        <v>493</v>
      </c>
      <c r="E204" s="35" t="n">
        <v>250000</v>
      </c>
      <c r="F204" s="35" t="n">
        <v>0</v>
      </c>
      <c r="G204" s="35" t="n">
        <v>76491760</v>
      </c>
      <c r="H204" s="36" t="s">
        <v>494</v>
      </c>
    </row>
    <row r="205" customFormat="false" ht="17.15" hidden="false" customHeight="false" outlineLevel="0" collapsed="false">
      <c r="A205" s="30" t="s">
        <v>129</v>
      </c>
      <c r="B205" s="29" t="s">
        <v>495</v>
      </c>
      <c r="C205" s="30" t="s">
        <v>206</v>
      </c>
      <c r="D205" s="29" t="s">
        <v>496</v>
      </c>
      <c r="E205" s="33" t="n">
        <v>0</v>
      </c>
      <c r="F205" s="33" t="n">
        <v>643665</v>
      </c>
      <c r="G205" s="33" t="n">
        <v>76741760</v>
      </c>
      <c r="H205" s="34" t="s">
        <v>132</v>
      </c>
    </row>
    <row r="206" customFormat="false" ht="17.15" hidden="false" customHeight="false" outlineLevel="0" collapsed="false">
      <c r="A206" s="30" t="s">
        <v>129</v>
      </c>
      <c r="B206" s="29" t="s">
        <v>497</v>
      </c>
      <c r="C206" s="30" t="s">
        <v>131</v>
      </c>
      <c r="D206" s="30" t="s">
        <v>60</v>
      </c>
      <c r="E206" s="33" t="n">
        <v>0</v>
      </c>
      <c r="F206" s="33" t="n">
        <v>706640</v>
      </c>
      <c r="G206" s="33" t="n">
        <v>76098095</v>
      </c>
      <c r="H206" s="34" t="s">
        <v>132</v>
      </c>
    </row>
    <row r="207" customFormat="false" ht="17.15" hidden="false" customHeight="false" outlineLevel="0" collapsed="false">
      <c r="A207" s="21" t="s">
        <v>129</v>
      </c>
      <c r="B207" s="15" t="s">
        <v>498</v>
      </c>
      <c r="C207" s="21" t="s">
        <v>254</v>
      </c>
      <c r="D207" s="21" t="s">
        <v>499</v>
      </c>
      <c r="E207" s="35" t="n">
        <v>47200</v>
      </c>
      <c r="F207" s="35" t="n">
        <v>0</v>
      </c>
      <c r="G207" s="35" t="n">
        <v>75391455</v>
      </c>
      <c r="H207" s="37" t="s">
        <v>176</v>
      </c>
    </row>
    <row r="208" customFormat="false" ht="17.15" hidden="false" customHeight="false" outlineLevel="0" collapsed="false">
      <c r="A208" s="30" t="s">
        <v>129</v>
      </c>
      <c r="B208" s="29" t="s">
        <v>500</v>
      </c>
      <c r="C208" s="30" t="s">
        <v>131</v>
      </c>
      <c r="D208" s="29" t="s">
        <v>278</v>
      </c>
      <c r="E208" s="33" t="n">
        <v>0</v>
      </c>
      <c r="F208" s="33" t="n">
        <v>449460</v>
      </c>
      <c r="G208" s="33" t="n">
        <v>75438655</v>
      </c>
      <c r="H208" s="34" t="s">
        <v>132</v>
      </c>
    </row>
    <row r="209" customFormat="false" ht="17.15" hidden="false" customHeight="false" outlineLevel="0" collapsed="false">
      <c r="A209" s="21" t="s">
        <v>129</v>
      </c>
      <c r="B209" s="15" t="s">
        <v>501</v>
      </c>
      <c r="C209" s="15" t="s">
        <v>170</v>
      </c>
      <c r="D209" s="21" t="s">
        <v>502</v>
      </c>
      <c r="E209" s="35" t="n">
        <v>20000</v>
      </c>
      <c r="F209" s="35" t="n">
        <v>0</v>
      </c>
      <c r="G209" s="35" t="n">
        <v>74989195</v>
      </c>
      <c r="H209" s="36" t="s">
        <v>212</v>
      </c>
    </row>
    <row r="210" customFormat="false" ht="17.15" hidden="false" customHeight="false" outlineLevel="0" collapsed="false">
      <c r="A210" s="21" t="s">
        <v>129</v>
      </c>
      <c r="B210" s="15" t="s">
        <v>503</v>
      </c>
      <c r="C210" s="21" t="s">
        <v>235</v>
      </c>
      <c r="D210" s="21" t="s">
        <v>504</v>
      </c>
      <c r="E210" s="35" t="n">
        <v>1056000</v>
      </c>
      <c r="F210" s="35" t="n">
        <v>0</v>
      </c>
      <c r="G210" s="35" t="n">
        <v>75009195</v>
      </c>
      <c r="H210" s="36" t="s">
        <v>141</v>
      </c>
    </row>
    <row r="211" customFormat="false" ht="17.15" hidden="false" customHeight="false" outlineLevel="0" collapsed="false">
      <c r="A211" s="30" t="s">
        <v>129</v>
      </c>
      <c r="B211" s="29" t="s">
        <v>505</v>
      </c>
      <c r="C211" s="30" t="s">
        <v>131</v>
      </c>
      <c r="D211" s="29" t="s">
        <v>66</v>
      </c>
      <c r="E211" s="33" t="n">
        <v>0</v>
      </c>
      <c r="F211" s="33" t="n">
        <v>890560</v>
      </c>
      <c r="G211" s="33" t="n">
        <v>76065195</v>
      </c>
      <c r="H211" s="34" t="s">
        <v>132</v>
      </c>
    </row>
    <row r="212" customFormat="false" ht="17.15" hidden="false" customHeight="false" outlineLevel="0" collapsed="false">
      <c r="A212" s="30" t="s">
        <v>129</v>
      </c>
      <c r="B212" s="29" t="s">
        <v>506</v>
      </c>
      <c r="C212" s="30" t="s">
        <v>206</v>
      </c>
      <c r="D212" s="30" t="s">
        <v>507</v>
      </c>
      <c r="E212" s="33" t="n">
        <v>0</v>
      </c>
      <c r="F212" s="33" t="n">
        <v>40230</v>
      </c>
      <c r="G212" s="33" t="n">
        <v>75174635</v>
      </c>
      <c r="H212" s="34" t="s">
        <v>451</v>
      </c>
    </row>
    <row r="213" customFormat="false" ht="17.15" hidden="false" customHeight="false" outlineLevel="0" collapsed="false">
      <c r="A213" s="30" t="s">
        <v>129</v>
      </c>
      <c r="B213" s="29" t="s">
        <v>508</v>
      </c>
      <c r="C213" s="30" t="s">
        <v>131</v>
      </c>
      <c r="D213" s="29" t="s">
        <v>509</v>
      </c>
      <c r="E213" s="33" t="n">
        <v>0</v>
      </c>
      <c r="F213" s="33" t="n">
        <v>1328800</v>
      </c>
      <c r="G213" s="33" t="n">
        <v>75134405</v>
      </c>
      <c r="H213" s="34" t="s">
        <v>132</v>
      </c>
    </row>
    <row r="214" customFormat="false" ht="17.15" hidden="false" customHeight="false" outlineLevel="0" collapsed="false">
      <c r="A214" s="21" t="s">
        <v>129</v>
      </c>
      <c r="B214" s="15" t="s">
        <v>510</v>
      </c>
      <c r="C214" s="21" t="s">
        <v>147</v>
      </c>
      <c r="D214" s="21" t="s">
        <v>511</v>
      </c>
      <c r="E214" s="35" t="n">
        <v>405000</v>
      </c>
      <c r="F214" s="35" t="n">
        <v>0</v>
      </c>
      <c r="G214" s="35" t="n">
        <v>73805605</v>
      </c>
      <c r="H214" s="36" t="s">
        <v>149</v>
      </c>
    </row>
    <row r="215" customFormat="false" ht="17.15" hidden="false" customHeight="false" outlineLevel="0" collapsed="false">
      <c r="A215" s="21" t="s">
        <v>129</v>
      </c>
      <c r="B215" s="15" t="s">
        <v>512</v>
      </c>
      <c r="C215" s="21" t="s">
        <v>136</v>
      </c>
      <c r="D215" s="21" t="s">
        <v>513</v>
      </c>
      <c r="E215" s="35" t="n">
        <v>126500</v>
      </c>
      <c r="F215" s="35" t="n">
        <v>0</v>
      </c>
      <c r="G215" s="35" t="n">
        <v>74210605</v>
      </c>
      <c r="H215" s="36" t="s">
        <v>141</v>
      </c>
    </row>
    <row r="216" customFormat="false" ht="17.15" hidden="false" customHeight="false" outlineLevel="0" collapsed="false">
      <c r="A216" s="21" t="s">
        <v>129</v>
      </c>
      <c r="B216" s="15" t="s">
        <v>514</v>
      </c>
      <c r="C216" s="21" t="s">
        <v>136</v>
      </c>
      <c r="D216" s="21" t="s">
        <v>515</v>
      </c>
      <c r="E216" s="35" t="n">
        <v>183722</v>
      </c>
      <c r="F216" s="35" t="n">
        <v>0</v>
      </c>
      <c r="G216" s="35" t="n">
        <v>74337105</v>
      </c>
      <c r="H216" s="36" t="s">
        <v>141</v>
      </c>
    </row>
    <row r="217" customFormat="false" ht="17.15" hidden="false" customHeight="false" outlineLevel="0" collapsed="false">
      <c r="A217" s="21" t="s">
        <v>129</v>
      </c>
      <c r="B217" s="15" t="s">
        <v>514</v>
      </c>
      <c r="C217" s="21" t="s">
        <v>516</v>
      </c>
      <c r="D217" s="21" t="s">
        <v>517</v>
      </c>
      <c r="E217" s="35" t="n">
        <v>931700</v>
      </c>
      <c r="F217" s="35" t="n">
        <v>0</v>
      </c>
      <c r="G217" s="35" t="n">
        <v>74520827</v>
      </c>
      <c r="H217" s="36" t="s">
        <v>149</v>
      </c>
    </row>
    <row r="218" customFormat="false" ht="17.15" hidden="false" customHeight="false" outlineLevel="0" collapsed="false">
      <c r="A218" s="21" t="s">
        <v>129</v>
      </c>
      <c r="B218" s="15" t="s">
        <v>518</v>
      </c>
      <c r="C218" s="21" t="s">
        <v>194</v>
      </c>
      <c r="D218" s="21" t="s">
        <v>519</v>
      </c>
      <c r="E218" s="35" t="n">
        <v>88000</v>
      </c>
      <c r="F218" s="35" t="n">
        <v>0</v>
      </c>
      <c r="G218" s="35" t="n">
        <v>75452527</v>
      </c>
      <c r="H218" s="37" t="s">
        <v>176</v>
      </c>
    </row>
    <row r="219" customFormat="false" ht="17.15" hidden="false" customHeight="false" outlineLevel="0" collapsed="false">
      <c r="A219" s="21" t="s">
        <v>129</v>
      </c>
      <c r="B219" s="15" t="s">
        <v>520</v>
      </c>
      <c r="C219" s="21" t="s">
        <v>136</v>
      </c>
      <c r="D219" s="21" t="s">
        <v>521</v>
      </c>
      <c r="E219" s="35" t="n">
        <v>50000</v>
      </c>
      <c r="F219" s="35" t="n">
        <v>0</v>
      </c>
      <c r="G219" s="35" t="n">
        <v>75540527</v>
      </c>
      <c r="H219" s="36" t="s">
        <v>149</v>
      </c>
    </row>
    <row r="220" customFormat="false" ht="17.15" hidden="false" customHeight="false" outlineLevel="0" collapsed="false">
      <c r="A220" s="21" t="s">
        <v>129</v>
      </c>
      <c r="B220" s="15" t="s">
        <v>522</v>
      </c>
      <c r="C220" s="21" t="s">
        <v>136</v>
      </c>
      <c r="D220" s="21" t="s">
        <v>523</v>
      </c>
      <c r="E220" s="35" t="n">
        <v>2439360</v>
      </c>
      <c r="F220" s="35" t="n">
        <v>0</v>
      </c>
      <c r="G220" s="35" t="n">
        <v>75590527</v>
      </c>
      <c r="H220" s="36" t="s">
        <v>141</v>
      </c>
    </row>
    <row r="221" customFormat="false" ht="17.15" hidden="false" customHeight="false" outlineLevel="0" collapsed="false">
      <c r="A221" s="21" t="s">
        <v>129</v>
      </c>
      <c r="B221" s="15" t="s">
        <v>524</v>
      </c>
      <c r="C221" s="21" t="s">
        <v>143</v>
      </c>
      <c r="D221" s="21" t="s">
        <v>525</v>
      </c>
      <c r="E221" s="35" t="n">
        <v>440000</v>
      </c>
      <c r="F221" s="35" t="n">
        <v>0</v>
      </c>
      <c r="G221" s="35" t="n">
        <v>78029887</v>
      </c>
      <c r="H221" s="37" t="s">
        <v>176</v>
      </c>
    </row>
    <row r="222" customFormat="false" ht="17.15" hidden="false" customHeight="false" outlineLevel="0" collapsed="false">
      <c r="A222" s="21" t="s">
        <v>129</v>
      </c>
      <c r="B222" s="15" t="s">
        <v>526</v>
      </c>
      <c r="C222" s="21" t="s">
        <v>143</v>
      </c>
      <c r="D222" s="21" t="s">
        <v>527</v>
      </c>
      <c r="E222" s="35" t="n">
        <v>1186900</v>
      </c>
      <c r="F222" s="35" t="n">
        <v>0</v>
      </c>
      <c r="G222" s="35" t="n">
        <v>78469887</v>
      </c>
      <c r="H222" s="37" t="s">
        <v>176</v>
      </c>
    </row>
    <row r="223" customFormat="false" ht="15" hidden="false" customHeight="false" outlineLevel="0" collapsed="false">
      <c r="A223" s="21" t="s">
        <v>129</v>
      </c>
      <c r="B223" s="15" t="s">
        <v>528</v>
      </c>
      <c r="C223" s="21" t="s">
        <v>217</v>
      </c>
      <c r="D223" s="21" t="s">
        <v>529</v>
      </c>
      <c r="E223" s="35" t="n">
        <v>19500</v>
      </c>
      <c r="F223" s="35" t="n">
        <v>0</v>
      </c>
      <c r="G223" s="35" t="n">
        <v>79656787</v>
      </c>
      <c r="H223" s="36" t="s">
        <v>219</v>
      </c>
    </row>
    <row r="224" customFormat="false" ht="17.15" hidden="false" customHeight="false" outlineLevel="0" collapsed="false">
      <c r="A224" s="30" t="s">
        <v>129</v>
      </c>
      <c r="B224" s="29" t="s">
        <v>530</v>
      </c>
      <c r="C224" s="30" t="s">
        <v>131</v>
      </c>
      <c r="D224" s="29" t="s">
        <v>55</v>
      </c>
      <c r="E224" s="33" t="n">
        <v>0</v>
      </c>
      <c r="F224" s="33" t="n">
        <v>5062607</v>
      </c>
      <c r="G224" s="33" t="n">
        <v>79676287</v>
      </c>
      <c r="H224" s="34" t="s">
        <v>132</v>
      </c>
    </row>
    <row r="225" customFormat="false" ht="17.15" hidden="false" customHeight="false" outlineLevel="0" collapsed="false">
      <c r="A225" s="30" t="s">
        <v>129</v>
      </c>
      <c r="B225" s="29" t="s">
        <v>531</v>
      </c>
      <c r="C225" s="30" t="s">
        <v>131</v>
      </c>
      <c r="D225" s="30" t="s">
        <v>56</v>
      </c>
      <c r="E225" s="33" t="n">
        <v>0</v>
      </c>
      <c r="F225" s="33" t="n">
        <v>1690975</v>
      </c>
      <c r="G225" s="33" t="n">
        <v>74613680</v>
      </c>
      <c r="H225" s="34" t="s">
        <v>132</v>
      </c>
    </row>
    <row r="226" customFormat="false" ht="17.15" hidden="false" customHeight="false" outlineLevel="0" collapsed="false">
      <c r="A226" s="30" t="s">
        <v>129</v>
      </c>
      <c r="B226" s="29" t="s">
        <v>532</v>
      </c>
      <c r="C226" s="30" t="s">
        <v>131</v>
      </c>
      <c r="D226" s="30" t="s">
        <v>311</v>
      </c>
      <c r="E226" s="33" t="n">
        <v>0</v>
      </c>
      <c r="F226" s="33" t="n">
        <v>1062028</v>
      </c>
      <c r="G226" s="33" t="n">
        <v>72922705</v>
      </c>
      <c r="H226" s="34" t="s">
        <v>132</v>
      </c>
    </row>
    <row r="227" customFormat="false" ht="17.15" hidden="false" customHeight="false" outlineLevel="0" collapsed="false">
      <c r="A227" s="30" t="s">
        <v>129</v>
      </c>
      <c r="B227" s="29" t="s">
        <v>533</v>
      </c>
      <c r="C227" s="30" t="s">
        <v>131</v>
      </c>
      <c r="D227" s="30" t="s">
        <v>534</v>
      </c>
      <c r="E227" s="33" t="n">
        <v>0</v>
      </c>
      <c r="F227" s="33" t="n">
        <v>732740</v>
      </c>
      <c r="G227" s="33" t="n">
        <v>71860677</v>
      </c>
      <c r="H227" s="34" t="s">
        <v>132</v>
      </c>
    </row>
    <row r="228" customFormat="false" ht="17.15" hidden="false" customHeight="false" outlineLevel="0" collapsed="false">
      <c r="A228" s="30" t="s">
        <v>129</v>
      </c>
      <c r="B228" s="29" t="s">
        <v>535</v>
      </c>
      <c r="C228" s="30" t="s">
        <v>131</v>
      </c>
      <c r="D228" s="29" t="s">
        <v>62</v>
      </c>
      <c r="E228" s="33" t="n">
        <v>0</v>
      </c>
      <c r="F228" s="33" t="n">
        <v>548020</v>
      </c>
      <c r="G228" s="33" t="n">
        <v>71127937</v>
      </c>
      <c r="H228" s="34" t="s">
        <v>132</v>
      </c>
    </row>
    <row r="229" customFormat="false" ht="17.15" hidden="false" customHeight="false" outlineLevel="0" collapsed="false">
      <c r="A229" s="30" t="s">
        <v>129</v>
      </c>
      <c r="B229" s="29" t="s">
        <v>536</v>
      </c>
      <c r="C229" s="30" t="s">
        <v>131</v>
      </c>
      <c r="D229" s="29" t="s">
        <v>67</v>
      </c>
      <c r="E229" s="33" t="n">
        <v>0</v>
      </c>
      <c r="F229" s="33" t="n">
        <v>985677</v>
      </c>
      <c r="G229" s="33" t="n">
        <v>70579917</v>
      </c>
      <c r="H229" s="34" t="s">
        <v>132</v>
      </c>
    </row>
    <row r="230" customFormat="false" ht="17.15" hidden="false" customHeight="false" outlineLevel="0" collapsed="false">
      <c r="A230" s="30" t="s">
        <v>129</v>
      </c>
      <c r="B230" s="29" t="s">
        <v>537</v>
      </c>
      <c r="C230" s="30" t="s">
        <v>131</v>
      </c>
      <c r="D230" s="29" t="s">
        <v>58</v>
      </c>
      <c r="E230" s="33" t="n">
        <v>0</v>
      </c>
      <c r="F230" s="33" t="n">
        <v>4316444</v>
      </c>
      <c r="G230" s="33" t="n">
        <v>69594240</v>
      </c>
      <c r="H230" s="34" t="s">
        <v>132</v>
      </c>
    </row>
    <row r="231" customFormat="false" ht="15" hidden="false" customHeight="false" outlineLevel="0" collapsed="false">
      <c r="A231" s="21" t="s">
        <v>129</v>
      </c>
      <c r="B231" s="15" t="s">
        <v>538</v>
      </c>
      <c r="C231" s="21" t="s">
        <v>163</v>
      </c>
      <c r="D231" s="15" t="s">
        <v>539</v>
      </c>
      <c r="E231" s="35" t="n">
        <v>6550</v>
      </c>
      <c r="F231" s="35" t="n">
        <v>0</v>
      </c>
      <c r="G231" s="35" t="n">
        <v>65277796</v>
      </c>
      <c r="H231" s="36" t="s">
        <v>165</v>
      </c>
    </row>
    <row r="232" customFormat="false" ht="17.15" hidden="false" customHeight="false" outlineLevel="0" collapsed="false">
      <c r="A232" s="30" t="s">
        <v>129</v>
      </c>
      <c r="B232" s="29" t="s">
        <v>540</v>
      </c>
      <c r="C232" s="30" t="s">
        <v>131</v>
      </c>
      <c r="D232" s="30" t="s">
        <v>57</v>
      </c>
      <c r="E232" s="33" t="n">
        <v>0</v>
      </c>
      <c r="F232" s="33" t="n">
        <v>3016640</v>
      </c>
      <c r="G232" s="33" t="n">
        <v>65284346</v>
      </c>
      <c r="H232" s="34" t="s">
        <v>132</v>
      </c>
    </row>
    <row r="233" customFormat="false" ht="17.15" hidden="false" customHeight="false" outlineLevel="0" collapsed="false">
      <c r="A233" s="21" t="s">
        <v>129</v>
      </c>
      <c r="B233" s="15" t="s">
        <v>541</v>
      </c>
      <c r="C233" s="15" t="s">
        <v>170</v>
      </c>
      <c r="D233" s="21" t="s">
        <v>542</v>
      </c>
      <c r="E233" s="35" t="n">
        <v>250000</v>
      </c>
      <c r="F233" s="35" t="n">
        <v>0</v>
      </c>
      <c r="G233" s="35" t="n">
        <v>62267706</v>
      </c>
      <c r="H233" s="36" t="s">
        <v>172</v>
      </c>
    </row>
    <row r="234" customFormat="false" ht="17.15" hidden="false" customHeight="false" outlineLevel="0" collapsed="false">
      <c r="A234" s="21" t="s">
        <v>129</v>
      </c>
      <c r="B234" s="15" t="s">
        <v>543</v>
      </c>
      <c r="C234" s="15" t="s">
        <v>174</v>
      </c>
      <c r="D234" s="15" t="s">
        <v>175</v>
      </c>
      <c r="E234" s="35" t="n">
        <v>121000</v>
      </c>
      <c r="F234" s="35" t="n">
        <v>0</v>
      </c>
      <c r="G234" s="35" t="n">
        <v>62517706</v>
      </c>
      <c r="H234" s="37" t="s">
        <v>176</v>
      </c>
    </row>
    <row r="235" customFormat="false" ht="15" hidden="false" customHeight="false" outlineLevel="0" collapsed="false">
      <c r="A235" s="21" t="s">
        <v>129</v>
      </c>
      <c r="B235" s="15" t="s">
        <v>544</v>
      </c>
      <c r="C235" s="21" t="s">
        <v>163</v>
      </c>
      <c r="D235" s="15" t="s">
        <v>545</v>
      </c>
      <c r="E235" s="35" t="n">
        <v>80110</v>
      </c>
      <c r="F235" s="35" t="n">
        <v>0</v>
      </c>
      <c r="G235" s="35" t="n">
        <v>62638706</v>
      </c>
      <c r="H235" s="36" t="s">
        <v>165</v>
      </c>
    </row>
    <row r="236" customFormat="false" ht="15" hidden="false" customHeight="false" outlineLevel="0" collapsed="false">
      <c r="A236" s="21" t="s">
        <v>129</v>
      </c>
      <c r="B236" s="15" t="s">
        <v>546</v>
      </c>
      <c r="C236" s="21" t="s">
        <v>163</v>
      </c>
      <c r="D236" s="15" t="s">
        <v>547</v>
      </c>
      <c r="E236" s="35" t="n">
        <v>5660</v>
      </c>
      <c r="F236" s="35" t="n">
        <v>0</v>
      </c>
      <c r="G236" s="35" t="n">
        <v>62718816</v>
      </c>
      <c r="H236" s="36" t="s">
        <v>165</v>
      </c>
    </row>
    <row r="237" customFormat="false" ht="15" hidden="false" customHeight="false" outlineLevel="0" collapsed="false">
      <c r="A237" s="21" t="s">
        <v>129</v>
      </c>
      <c r="B237" s="15" t="s">
        <v>548</v>
      </c>
      <c r="C237" s="21" t="s">
        <v>182</v>
      </c>
      <c r="D237" s="21" t="s">
        <v>183</v>
      </c>
      <c r="E237" s="35" t="n">
        <v>2640520</v>
      </c>
      <c r="F237" s="35" t="n">
        <v>0</v>
      </c>
      <c r="G237" s="35" t="n">
        <v>62724476</v>
      </c>
      <c r="H237" s="36" t="s">
        <v>184</v>
      </c>
    </row>
    <row r="238" customFormat="false" ht="17.15" hidden="false" customHeight="false" outlineLevel="0" collapsed="false">
      <c r="A238" s="21" t="s">
        <v>129</v>
      </c>
      <c r="B238" s="15" t="s">
        <v>549</v>
      </c>
      <c r="C238" s="15" t="s">
        <v>170</v>
      </c>
      <c r="D238" s="15" t="s">
        <v>550</v>
      </c>
      <c r="E238" s="35" t="n">
        <v>173900</v>
      </c>
      <c r="F238" s="35" t="n">
        <v>0</v>
      </c>
      <c r="G238" s="35" t="n">
        <v>65364996</v>
      </c>
      <c r="H238" s="36" t="s">
        <v>187</v>
      </c>
    </row>
    <row r="239" customFormat="false" ht="17.15" hidden="false" customHeight="false" outlineLevel="0" collapsed="false">
      <c r="A239" s="21" t="s">
        <v>129</v>
      </c>
      <c r="B239" s="15" t="s">
        <v>549</v>
      </c>
      <c r="C239" s="15" t="s">
        <v>170</v>
      </c>
      <c r="D239" s="15" t="s">
        <v>551</v>
      </c>
      <c r="E239" s="35" t="n">
        <v>173900</v>
      </c>
      <c r="F239" s="35" t="n">
        <v>0</v>
      </c>
      <c r="G239" s="35" t="n">
        <v>65538896</v>
      </c>
      <c r="H239" s="36" t="s">
        <v>187</v>
      </c>
    </row>
    <row r="240" customFormat="false" ht="17.15" hidden="false" customHeight="false" outlineLevel="0" collapsed="false">
      <c r="A240" s="21" t="s">
        <v>129</v>
      </c>
      <c r="B240" s="15" t="s">
        <v>549</v>
      </c>
      <c r="C240" s="15" t="s">
        <v>170</v>
      </c>
      <c r="D240" s="15" t="s">
        <v>552</v>
      </c>
      <c r="E240" s="35" t="n">
        <v>173900</v>
      </c>
      <c r="F240" s="35" t="n">
        <v>0</v>
      </c>
      <c r="G240" s="35" t="n">
        <v>65712796</v>
      </c>
      <c r="H240" s="36" t="s">
        <v>187</v>
      </c>
    </row>
    <row r="241" customFormat="false" ht="17.15" hidden="false" customHeight="false" outlineLevel="0" collapsed="false">
      <c r="A241" s="21" t="s">
        <v>129</v>
      </c>
      <c r="B241" s="15" t="s">
        <v>549</v>
      </c>
      <c r="C241" s="15" t="s">
        <v>170</v>
      </c>
      <c r="D241" s="15" t="s">
        <v>553</v>
      </c>
      <c r="E241" s="35" t="n">
        <v>173900</v>
      </c>
      <c r="F241" s="35" t="n">
        <v>0</v>
      </c>
      <c r="G241" s="35" t="n">
        <v>65886696</v>
      </c>
      <c r="H241" s="36" t="s">
        <v>187</v>
      </c>
    </row>
    <row r="242" customFormat="false" ht="17.15" hidden="false" customHeight="false" outlineLevel="0" collapsed="false">
      <c r="A242" s="21" t="s">
        <v>129</v>
      </c>
      <c r="B242" s="15" t="s">
        <v>554</v>
      </c>
      <c r="C242" s="15" t="s">
        <v>170</v>
      </c>
      <c r="D242" s="15" t="s">
        <v>555</v>
      </c>
      <c r="E242" s="35" t="n">
        <v>175000</v>
      </c>
      <c r="F242" s="35" t="n">
        <v>0</v>
      </c>
      <c r="G242" s="35" t="n">
        <v>66060596</v>
      </c>
      <c r="H242" s="36" t="s">
        <v>187</v>
      </c>
    </row>
    <row r="243" customFormat="false" ht="17.15" hidden="false" customHeight="false" outlineLevel="0" collapsed="false">
      <c r="A243" s="30" t="s">
        <v>129</v>
      </c>
      <c r="B243" s="29" t="s">
        <v>556</v>
      </c>
      <c r="C243" s="30" t="s">
        <v>131</v>
      </c>
      <c r="D243" s="30" t="s">
        <v>557</v>
      </c>
      <c r="E243" s="33" t="n">
        <v>0</v>
      </c>
      <c r="F243" s="33" t="n">
        <v>353430</v>
      </c>
      <c r="G243" s="33" t="n">
        <v>66235596</v>
      </c>
      <c r="H243" s="34" t="s">
        <v>132</v>
      </c>
    </row>
    <row r="244" customFormat="false" ht="17.15" hidden="false" customHeight="false" outlineLevel="0" collapsed="false">
      <c r="A244" s="21" t="s">
        <v>129</v>
      </c>
      <c r="B244" s="15" t="s">
        <v>558</v>
      </c>
      <c r="C244" s="21" t="s">
        <v>136</v>
      </c>
      <c r="D244" s="15" t="s">
        <v>559</v>
      </c>
      <c r="E244" s="35" t="n">
        <v>220000</v>
      </c>
      <c r="F244" s="35" t="n">
        <v>0</v>
      </c>
      <c r="G244" s="35" t="n">
        <v>65882166</v>
      </c>
      <c r="H244" s="37" t="s">
        <v>176</v>
      </c>
    </row>
    <row r="245" customFormat="false" ht="17.15" hidden="false" customHeight="false" outlineLevel="0" collapsed="false">
      <c r="A245" s="21" t="s">
        <v>129</v>
      </c>
      <c r="B245" s="15" t="s">
        <v>558</v>
      </c>
      <c r="C245" s="21" t="s">
        <v>136</v>
      </c>
      <c r="D245" s="21" t="s">
        <v>560</v>
      </c>
      <c r="E245" s="35" t="n">
        <v>280000</v>
      </c>
      <c r="F245" s="35" t="n">
        <v>0</v>
      </c>
      <c r="G245" s="35" t="n">
        <v>66102166</v>
      </c>
      <c r="H245" s="36" t="s">
        <v>494</v>
      </c>
    </row>
    <row r="246" customFormat="false" ht="17.15" hidden="false" customHeight="false" outlineLevel="0" collapsed="false">
      <c r="A246" s="30" t="s">
        <v>129</v>
      </c>
      <c r="B246" s="29" t="s">
        <v>561</v>
      </c>
      <c r="C246" s="30" t="s">
        <v>131</v>
      </c>
      <c r="D246" s="29" t="s">
        <v>54</v>
      </c>
      <c r="E246" s="33" t="n">
        <v>0</v>
      </c>
      <c r="F246" s="33" t="n">
        <v>40786037</v>
      </c>
      <c r="G246" s="33" t="n">
        <v>66382166</v>
      </c>
      <c r="H246" s="34" t="s">
        <v>132</v>
      </c>
    </row>
    <row r="247" customFormat="false" ht="17.15" hidden="false" customHeight="false" outlineLevel="0" collapsed="false">
      <c r="A247" s="21" t="s">
        <v>129</v>
      </c>
      <c r="B247" s="15" t="s">
        <v>562</v>
      </c>
      <c r="C247" s="21" t="s">
        <v>206</v>
      </c>
      <c r="D247" s="21" t="s">
        <v>207</v>
      </c>
      <c r="E247" s="35" t="n">
        <v>341940</v>
      </c>
      <c r="F247" s="35" t="n">
        <v>0</v>
      </c>
      <c r="G247" s="35" t="n">
        <v>25596129</v>
      </c>
      <c r="H247" s="36" t="s">
        <v>208</v>
      </c>
    </row>
    <row r="248" customFormat="false" ht="17.15" hidden="false" customHeight="false" outlineLevel="0" collapsed="false">
      <c r="A248" s="30" t="s">
        <v>129</v>
      </c>
      <c r="B248" s="29" t="s">
        <v>563</v>
      </c>
      <c r="C248" s="30" t="s">
        <v>131</v>
      </c>
      <c r="D248" s="29" t="s">
        <v>64</v>
      </c>
      <c r="E248" s="33" t="n">
        <v>0</v>
      </c>
      <c r="F248" s="33" t="n">
        <v>700755</v>
      </c>
      <c r="G248" s="33" t="n">
        <v>25938069</v>
      </c>
      <c r="H248" s="34" t="s">
        <v>132</v>
      </c>
    </row>
    <row r="249" customFormat="false" ht="17.15" hidden="false" customHeight="false" outlineLevel="0" collapsed="false">
      <c r="A249" s="21" t="s">
        <v>129</v>
      </c>
      <c r="B249" s="15" t="s">
        <v>564</v>
      </c>
      <c r="C249" s="15" t="s">
        <v>170</v>
      </c>
      <c r="D249" s="21" t="s">
        <v>565</v>
      </c>
      <c r="E249" s="35" t="n">
        <v>29700</v>
      </c>
      <c r="F249" s="35" t="n">
        <v>0</v>
      </c>
      <c r="G249" s="35" t="n">
        <v>25237314</v>
      </c>
      <c r="H249" s="36" t="s">
        <v>212</v>
      </c>
    </row>
    <row r="250" customFormat="false" ht="17.15" hidden="false" customHeight="false" outlineLevel="0" collapsed="false">
      <c r="A250" s="21" t="s">
        <v>129</v>
      </c>
      <c r="B250" s="15" t="s">
        <v>564</v>
      </c>
      <c r="C250" s="15" t="s">
        <v>170</v>
      </c>
      <c r="D250" s="21" t="s">
        <v>566</v>
      </c>
      <c r="E250" s="35" t="n">
        <v>42764</v>
      </c>
      <c r="F250" s="35" t="n">
        <v>0</v>
      </c>
      <c r="G250" s="35" t="n">
        <v>25267014</v>
      </c>
      <c r="H250" s="36" t="s">
        <v>212</v>
      </c>
    </row>
    <row r="251" customFormat="false" ht="17.15" hidden="false" customHeight="false" outlineLevel="0" collapsed="false">
      <c r="A251" s="30" t="s">
        <v>129</v>
      </c>
      <c r="B251" s="29" t="s">
        <v>567</v>
      </c>
      <c r="C251" s="30" t="s">
        <v>131</v>
      </c>
      <c r="D251" s="30" t="s">
        <v>465</v>
      </c>
      <c r="E251" s="33" t="n">
        <v>0</v>
      </c>
      <c r="F251" s="33" t="n">
        <v>1073325</v>
      </c>
      <c r="G251" s="33" t="n">
        <v>25309778</v>
      </c>
      <c r="H251" s="34" t="s">
        <v>132</v>
      </c>
    </row>
    <row r="252" customFormat="false" ht="17.15" hidden="false" customHeight="false" outlineLevel="0" collapsed="false">
      <c r="A252" s="30" t="s">
        <v>129</v>
      </c>
      <c r="B252" s="29" t="s">
        <v>568</v>
      </c>
      <c r="C252" s="30" t="s">
        <v>131</v>
      </c>
      <c r="D252" s="30" t="s">
        <v>221</v>
      </c>
      <c r="E252" s="33" t="n">
        <v>0</v>
      </c>
      <c r="F252" s="33" t="n">
        <v>929500</v>
      </c>
      <c r="G252" s="33" t="n">
        <v>24236453</v>
      </c>
      <c r="H252" s="34" t="s">
        <v>132</v>
      </c>
    </row>
    <row r="253" customFormat="false" ht="17.15" hidden="false" customHeight="false" outlineLevel="0" collapsed="false">
      <c r="A253" s="30" t="s">
        <v>129</v>
      </c>
      <c r="B253" s="29" t="s">
        <v>569</v>
      </c>
      <c r="C253" s="30" t="s">
        <v>131</v>
      </c>
      <c r="D253" s="29" t="s">
        <v>385</v>
      </c>
      <c r="E253" s="33" t="n">
        <v>0</v>
      </c>
      <c r="F253" s="33" t="n">
        <v>648120</v>
      </c>
      <c r="G253" s="33" t="n">
        <v>23306953</v>
      </c>
      <c r="H253" s="34" t="s">
        <v>132</v>
      </c>
    </row>
    <row r="254" customFormat="false" ht="17.15" hidden="false" customHeight="false" outlineLevel="0" collapsed="false">
      <c r="A254" s="21" t="s">
        <v>129</v>
      </c>
      <c r="B254" s="15" t="s">
        <v>570</v>
      </c>
      <c r="C254" s="21" t="s">
        <v>226</v>
      </c>
      <c r="D254" s="21" t="s">
        <v>571</v>
      </c>
      <c r="E254" s="35" t="n">
        <v>1926920</v>
      </c>
      <c r="F254" s="35" t="n">
        <v>0</v>
      </c>
      <c r="G254" s="35" t="n">
        <v>22658833</v>
      </c>
      <c r="H254" s="36" t="s">
        <v>224</v>
      </c>
    </row>
    <row r="255" customFormat="false" ht="17.15" hidden="false" customHeight="false" outlineLevel="0" collapsed="false">
      <c r="A255" s="21" t="s">
        <v>129</v>
      </c>
      <c r="B255" s="15" t="s">
        <v>572</v>
      </c>
      <c r="C255" s="21" t="s">
        <v>226</v>
      </c>
      <c r="D255" s="21" t="s">
        <v>358</v>
      </c>
      <c r="E255" s="35" t="n">
        <v>1926920</v>
      </c>
      <c r="F255" s="35" t="n">
        <v>0</v>
      </c>
      <c r="G255" s="35" t="n">
        <v>24585753</v>
      </c>
      <c r="H255" s="36" t="s">
        <v>224</v>
      </c>
    </row>
    <row r="256" customFormat="false" ht="17.15" hidden="false" customHeight="false" outlineLevel="0" collapsed="false">
      <c r="A256" s="21" t="s">
        <v>129</v>
      </c>
      <c r="B256" s="15" t="s">
        <v>573</v>
      </c>
      <c r="C256" s="21" t="s">
        <v>136</v>
      </c>
      <c r="D256" s="21" t="s">
        <v>358</v>
      </c>
      <c r="E256" s="35" t="n">
        <v>1944130</v>
      </c>
      <c r="F256" s="35" t="n">
        <v>0</v>
      </c>
      <c r="G256" s="35" t="n">
        <v>26512673</v>
      </c>
      <c r="H256" s="36" t="s">
        <v>224</v>
      </c>
    </row>
    <row r="257" customFormat="false" ht="17.15" hidden="false" customHeight="false" outlineLevel="0" collapsed="false">
      <c r="A257" s="21" t="s">
        <v>129</v>
      </c>
      <c r="B257" s="15" t="s">
        <v>574</v>
      </c>
      <c r="C257" s="21" t="s">
        <v>136</v>
      </c>
      <c r="D257" s="21" t="s">
        <v>358</v>
      </c>
      <c r="E257" s="35" t="n">
        <v>2233680</v>
      </c>
      <c r="F257" s="35" t="n">
        <v>0</v>
      </c>
      <c r="G257" s="35" t="n">
        <v>28456803</v>
      </c>
      <c r="H257" s="36" t="s">
        <v>224</v>
      </c>
    </row>
    <row r="258" customFormat="false" ht="17.15" hidden="false" customHeight="false" outlineLevel="0" collapsed="false">
      <c r="A258" s="21" t="s">
        <v>129</v>
      </c>
      <c r="B258" s="15" t="s">
        <v>575</v>
      </c>
      <c r="C258" s="21" t="s">
        <v>200</v>
      </c>
      <c r="D258" s="21" t="s">
        <v>358</v>
      </c>
      <c r="E258" s="35" t="n">
        <v>3891860</v>
      </c>
      <c r="F258" s="35" t="n">
        <v>0</v>
      </c>
      <c r="G258" s="35" t="n">
        <v>30690483</v>
      </c>
      <c r="H258" s="36" t="s">
        <v>224</v>
      </c>
    </row>
    <row r="259" customFormat="false" ht="17.15" hidden="false" customHeight="false" outlineLevel="0" collapsed="false">
      <c r="A259" s="21" t="s">
        <v>129</v>
      </c>
      <c r="B259" s="15" t="s">
        <v>575</v>
      </c>
      <c r="C259" s="21" t="s">
        <v>235</v>
      </c>
      <c r="D259" s="21" t="s">
        <v>358</v>
      </c>
      <c r="E259" s="35" t="n">
        <v>2174050</v>
      </c>
      <c r="F259" s="35" t="n">
        <v>0</v>
      </c>
      <c r="G259" s="35" t="n">
        <v>34582343</v>
      </c>
      <c r="H259" s="36" t="s">
        <v>224</v>
      </c>
    </row>
    <row r="260" customFormat="false" ht="17.15" hidden="false" customHeight="false" outlineLevel="0" collapsed="false">
      <c r="A260" s="21" t="s">
        <v>129</v>
      </c>
      <c r="B260" s="15" t="s">
        <v>576</v>
      </c>
      <c r="C260" s="21" t="s">
        <v>235</v>
      </c>
      <c r="D260" s="21" t="s">
        <v>358</v>
      </c>
      <c r="E260" s="35" t="n">
        <v>2929920</v>
      </c>
      <c r="F260" s="35" t="n">
        <v>0</v>
      </c>
      <c r="G260" s="35" t="n">
        <v>36756393</v>
      </c>
      <c r="H260" s="36" t="s">
        <v>224</v>
      </c>
    </row>
    <row r="261" customFormat="false" ht="17.15" hidden="false" customHeight="false" outlineLevel="0" collapsed="false">
      <c r="A261" s="21" t="s">
        <v>129</v>
      </c>
      <c r="B261" s="15" t="s">
        <v>577</v>
      </c>
      <c r="C261" s="21" t="s">
        <v>143</v>
      </c>
      <c r="D261" s="21" t="s">
        <v>358</v>
      </c>
      <c r="E261" s="35" t="n">
        <v>3222930</v>
      </c>
      <c r="F261" s="35" t="n">
        <v>0</v>
      </c>
      <c r="G261" s="35" t="n">
        <v>39686313</v>
      </c>
      <c r="H261" s="36" t="s">
        <v>224</v>
      </c>
    </row>
    <row r="262" customFormat="false" ht="17.15" hidden="false" customHeight="false" outlineLevel="0" collapsed="false">
      <c r="A262" s="21" t="s">
        <v>129</v>
      </c>
      <c r="B262" s="15" t="s">
        <v>578</v>
      </c>
      <c r="C262" s="21" t="s">
        <v>241</v>
      </c>
      <c r="D262" s="21" t="s">
        <v>358</v>
      </c>
      <c r="E262" s="35" t="n">
        <v>4568470</v>
      </c>
      <c r="F262" s="35" t="n">
        <v>0</v>
      </c>
      <c r="G262" s="35" t="n">
        <v>42909243</v>
      </c>
      <c r="H262" s="36" t="s">
        <v>224</v>
      </c>
    </row>
    <row r="263" customFormat="false" ht="17.15" hidden="false" customHeight="false" outlineLevel="0" collapsed="false">
      <c r="A263" s="21" t="s">
        <v>129</v>
      </c>
      <c r="B263" s="15" t="s">
        <v>578</v>
      </c>
      <c r="C263" s="21" t="s">
        <v>235</v>
      </c>
      <c r="D263" s="21" t="s">
        <v>358</v>
      </c>
      <c r="E263" s="35" t="n">
        <v>6695000</v>
      </c>
      <c r="F263" s="35" t="n">
        <v>0</v>
      </c>
      <c r="G263" s="35" t="n">
        <v>47477713</v>
      </c>
      <c r="H263" s="36" t="s">
        <v>224</v>
      </c>
    </row>
    <row r="264" customFormat="false" ht="17.15" hidden="false" customHeight="false" outlineLevel="0" collapsed="false">
      <c r="A264" s="21" t="s">
        <v>129</v>
      </c>
      <c r="B264" s="15" t="s">
        <v>579</v>
      </c>
      <c r="C264" s="21" t="s">
        <v>235</v>
      </c>
      <c r="D264" s="21" t="s">
        <v>358</v>
      </c>
      <c r="E264" s="35" t="n">
        <v>3206140</v>
      </c>
      <c r="F264" s="35" t="n">
        <v>0</v>
      </c>
      <c r="G264" s="35" t="n">
        <v>54172713</v>
      </c>
      <c r="H264" s="36" t="s">
        <v>224</v>
      </c>
    </row>
    <row r="265" customFormat="false" ht="17.15" hidden="false" customHeight="false" outlineLevel="0" collapsed="false">
      <c r="A265" s="30" t="s">
        <v>129</v>
      </c>
      <c r="B265" s="29" t="s">
        <v>580</v>
      </c>
      <c r="C265" s="30" t="s">
        <v>206</v>
      </c>
      <c r="D265" s="29" t="s">
        <v>496</v>
      </c>
      <c r="E265" s="33" t="n">
        <v>0</v>
      </c>
      <c r="F265" s="33" t="n">
        <v>462000</v>
      </c>
      <c r="G265" s="33" t="n">
        <v>57378853</v>
      </c>
      <c r="H265" s="34" t="s">
        <v>132</v>
      </c>
    </row>
    <row r="266" customFormat="false" ht="17.15" hidden="false" customHeight="false" outlineLevel="0" collapsed="false">
      <c r="A266" s="21" t="s">
        <v>129</v>
      </c>
      <c r="B266" s="15" t="s">
        <v>581</v>
      </c>
      <c r="C266" s="21" t="s">
        <v>250</v>
      </c>
      <c r="D266" s="21" t="s">
        <v>251</v>
      </c>
      <c r="E266" s="35" t="n">
        <v>28780</v>
      </c>
      <c r="F266" s="35" t="n">
        <v>0</v>
      </c>
      <c r="G266" s="35" t="n">
        <v>56916853</v>
      </c>
      <c r="H266" s="36" t="s">
        <v>252</v>
      </c>
    </row>
    <row r="267" customFormat="false" ht="17.15" hidden="false" customHeight="false" outlineLevel="0" collapsed="false">
      <c r="A267" s="21" t="s">
        <v>129</v>
      </c>
      <c r="B267" s="15" t="s">
        <v>581</v>
      </c>
      <c r="C267" s="21" t="s">
        <v>250</v>
      </c>
      <c r="D267" s="21" t="s">
        <v>251</v>
      </c>
      <c r="E267" s="35" t="n">
        <v>30300</v>
      </c>
      <c r="F267" s="35" t="n">
        <v>0</v>
      </c>
      <c r="G267" s="35" t="n">
        <v>56945633</v>
      </c>
      <c r="H267" s="36" t="s">
        <v>252</v>
      </c>
    </row>
    <row r="268" customFormat="false" ht="17.15" hidden="false" customHeight="false" outlineLevel="0" collapsed="false">
      <c r="A268" s="30" t="s">
        <v>129</v>
      </c>
      <c r="B268" s="29" t="s">
        <v>582</v>
      </c>
      <c r="C268" s="30" t="s">
        <v>131</v>
      </c>
      <c r="D268" s="30" t="s">
        <v>60</v>
      </c>
      <c r="E268" s="33" t="n">
        <v>0</v>
      </c>
      <c r="F268" s="33" t="n">
        <v>2645544</v>
      </c>
      <c r="G268" s="33" t="n">
        <v>56975933</v>
      </c>
      <c r="H268" s="34" t="s">
        <v>132</v>
      </c>
    </row>
    <row r="269" customFormat="false" ht="17.15" hidden="false" customHeight="false" outlineLevel="0" collapsed="false">
      <c r="A269" s="21" t="s">
        <v>129</v>
      </c>
      <c r="B269" s="15" t="s">
        <v>583</v>
      </c>
      <c r="C269" s="21" t="s">
        <v>254</v>
      </c>
      <c r="D269" s="21" t="s">
        <v>584</v>
      </c>
      <c r="E269" s="35" t="n">
        <v>47200</v>
      </c>
      <c r="F269" s="35" t="n">
        <v>0</v>
      </c>
      <c r="G269" s="35" t="n">
        <v>54330389</v>
      </c>
      <c r="H269" s="37" t="s">
        <v>176</v>
      </c>
    </row>
    <row r="270" customFormat="false" ht="17.15" hidden="false" customHeight="false" outlineLevel="0" collapsed="false">
      <c r="A270" s="30" t="s">
        <v>129</v>
      </c>
      <c r="B270" s="29" t="s">
        <v>585</v>
      </c>
      <c r="C270" s="30" t="s">
        <v>131</v>
      </c>
      <c r="D270" s="29" t="s">
        <v>278</v>
      </c>
      <c r="E270" s="33" t="n">
        <v>0</v>
      </c>
      <c r="F270" s="33" t="n">
        <v>605000</v>
      </c>
      <c r="G270" s="33" t="n">
        <v>54377589</v>
      </c>
      <c r="H270" s="34" t="s">
        <v>132</v>
      </c>
    </row>
    <row r="271" customFormat="false" ht="17.15" hidden="false" customHeight="false" outlineLevel="0" collapsed="false">
      <c r="A271" s="30" t="s">
        <v>129</v>
      </c>
      <c r="B271" s="29" t="s">
        <v>586</v>
      </c>
      <c r="C271" s="30" t="s">
        <v>131</v>
      </c>
      <c r="D271" s="29" t="s">
        <v>66</v>
      </c>
      <c r="E271" s="33" t="n">
        <v>0</v>
      </c>
      <c r="F271" s="33" t="n">
        <v>522500</v>
      </c>
      <c r="G271" s="33" t="n">
        <v>53772589</v>
      </c>
      <c r="H271" s="34" t="s">
        <v>132</v>
      </c>
    </row>
    <row r="272" customFormat="false" ht="17.15" hidden="false" customHeight="false" outlineLevel="0" collapsed="false">
      <c r="A272" s="21" t="s">
        <v>129</v>
      </c>
      <c r="B272" s="15" t="s">
        <v>587</v>
      </c>
      <c r="C272" s="15" t="s">
        <v>170</v>
      </c>
      <c r="D272" s="21" t="s">
        <v>588</v>
      </c>
      <c r="E272" s="35" t="n">
        <v>20000</v>
      </c>
      <c r="F272" s="35" t="n">
        <v>0</v>
      </c>
      <c r="G272" s="35" t="n">
        <v>53250089</v>
      </c>
      <c r="H272" s="36" t="s">
        <v>212</v>
      </c>
    </row>
    <row r="273" customFormat="false" ht="17.15" hidden="false" customHeight="false" outlineLevel="0" collapsed="false">
      <c r="A273" s="30" t="s">
        <v>129</v>
      </c>
      <c r="B273" s="29" t="s">
        <v>589</v>
      </c>
      <c r="C273" s="30" t="s">
        <v>131</v>
      </c>
      <c r="D273" s="30" t="s">
        <v>56</v>
      </c>
      <c r="E273" s="33" t="n">
        <v>0</v>
      </c>
      <c r="F273" s="33" t="n">
        <v>14197700</v>
      </c>
      <c r="G273" s="33" t="n">
        <v>53270089</v>
      </c>
      <c r="H273" s="34" t="s">
        <v>132</v>
      </c>
    </row>
    <row r="274" customFormat="false" ht="17.15" hidden="false" customHeight="false" outlineLevel="0" collapsed="false">
      <c r="A274" s="30" t="s">
        <v>129</v>
      </c>
      <c r="B274" s="29" t="s">
        <v>590</v>
      </c>
      <c r="C274" s="30" t="s">
        <v>131</v>
      </c>
      <c r="D274" s="29" t="s">
        <v>591</v>
      </c>
      <c r="E274" s="33" t="n">
        <v>0</v>
      </c>
      <c r="F274" s="33" t="n">
        <v>343860</v>
      </c>
      <c r="G274" s="33" t="n">
        <v>39072389</v>
      </c>
      <c r="H274" s="34" t="s">
        <v>132</v>
      </c>
    </row>
    <row r="275" customFormat="false" ht="17.15" hidden="false" customHeight="false" outlineLevel="0" collapsed="false">
      <c r="A275" s="30" t="s">
        <v>129</v>
      </c>
      <c r="B275" s="29" t="s">
        <v>592</v>
      </c>
      <c r="C275" s="30" t="s">
        <v>131</v>
      </c>
      <c r="D275" s="29" t="s">
        <v>134</v>
      </c>
      <c r="E275" s="33" t="n">
        <v>0</v>
      </c>
      <c r="F275" s="33" t="n">
        <v>220000</v>
      </c>
      <c r="G275" s="33" t="n">
        <v>38728529</v>
      </c>
      <c r="H275" s="34" t="s">
        <v>132</v>
      </c>
    </row>
    <row r="276" customFormat="false" ht="17.15" hidden="false" customHeight="false" outlineLevel="0" collapsed="false">
      <c r="A276" s="30" t="s">
        <v>129</v>
      </c>
      <c r="B276" s="29" t="s">
        <v>593</v>
      </c>
      <c r="C276" s="30" t="s">
        <v>131</v>
      </c>
      <c r="D276" s="29" t="s">
        <v>55</v>
      </c>
      <c r="E276" s="33" t="n">
        <v>0</v>
      </c>
      <c r="F276" s="33" t="n">
        <v>3061872</v>
      </c>
      <c r="G276" s="33" t="n">
        <v>38508529</v>
      </c>
      <c r="H276" s="34" t="s">
        <v>132</v>
      </c>
    </row>
    <row r="277" customFormat="false" ht="17.15" hidden="false" customHeight="false" outlineLevel="0" collapsed="false">
      <c r="A277" s="30" t="s">
        <v>129</v>
      </c>
      <c r="B277" s="29" t="s">
        <v>594</v>
      </c>
      <c r="C277" s="30" t="s">
        <v>131</v>
      </c>
      <c r="D277" s="29" t="s">
        <v>58</v>
      </c>
      <c r="E277" s="33" t="n">
        <v>0</v>
      </c>
      <c r="F277" s="33" t="n">
        <v>2770229</v>
      </c>
      <c r="G277" s="33" t="n">
        <v>35446657</v>
      </c>
      <c r="H277" s="34" t="s">
        <v>132</v>
      </c>
    </row>
    <row r="278" customFormat="false" ht="17.15" hidden="false" customHeight="false" outlineLevel="0" collapsed="false">
      <c r="A278" s="30" t="s">
        <v>129</v>
      </c>
      <c r="B278" s="29" t="s">
        <v>595</v>
      </c>
      <c r="C278" s="30" t="s">
        <v>131</v>
      </c>
      <c r="D278" s="30" t="s">
        <v>311</v>
      </c>
      <c r="E278" s="33" t="n">
        <v>0</v>
      </c>
      <c r="F278" s="33" t="n">
        <v>3415885</v>
      </c>
      <c r="G278" s="33" t="n">
        <v>32676428</v>
      </c>
      <c r="H278" s="34" t="s">
        <v>132</v>
      </c>
    </row>
    <row r="279" customFormat="false" ht="17.15" hidden="false" customHeight="false" outlineLevel="0" collapsed="false">
      <c r="A279" s="30" t="s">
        <v>129</v>
      </c>
      <c r="B279" s="29" t="s">
        <v>596</v>
      </c>
      <c r="C279" s="30" t="s">
        <v>131</v>
      </c>
      <c r="D279" s="30" t="s">
        <v>411</v>
      </c>
      <c r="E279" s="33" t="n">
        <v>0</v>
      </c>
      <c r="F279" s="33" t="n">
        <v>166320</v>
      </c>
      <c r="G279" s="33" t="n">
        <v>29260543</v>
      </c>
      <c r="H279" s="34" t="s">
        <v>132</v>
      </c>
    </row>
    <row r="280" customFormat="false" ht="17.15" hidden="false" customHeight="false" outlineLevel="0" collapsed="false">
      <c r="A280" s="30" t="s">
        <v>129</v>
      </c>
      <c r="B280" s="29" t="s">
        <v>597</v>
      </c>
      <c r="C280" s="30" t="s">
        <v>131</v>
      </c>
      <c r="D280" s="29" t="s">
        <v>67</v>
      </c>
      <c r="E280" s="33" t="n">
        <v>0</v>
      </c>
      <c r="F280" s="33" t="n">
        <v>474540</v>
      </c>
      <c r="G280" s="33" t="n">
        <v>29094223</v>
      </c>
      <c r="H280" s="34" t="s">
        <v>132</v>
      </c>
    </row>
    <row r="281" customFormat="false" ht="17.15" hidden="false" customHeight="false" outlineLevel="0" collapsed="false">
      <c r="A281" s="30" t="s">
        <v>129</v>
      </c>
      <c r="B281" s="29" t="s">
        <v>598</v>
      </c>
      <c r="C281" s="30" t="s">
        <v>131</v>
      </c>
      <c r="D281" s="29" t="s">
        <v>62</v>
      </c>
      <c r="E281" s="33" t="n">
        <v>0</v>
      </c>
      <c r="F281" s="33" t="n">
        <v>1800095</v>
      </c>
      <c r="G281" s="33" t="n">
        <v>28619683</v>
      </c>
      <c r="H281" s="34" t="s">
        <v>132</v>
      </c>
    </row>
    <row r="282" customFormat="false" ht="17.15" hidden="false" customHeight="false" outlineLevel="0" collapsed="false">
      <c r="A282" s="21" t="s">
        <v>129</v>
      </c>
      <c r="B282" s="15" t="s">
        <v>599</v>
      </c>
      <c r="C282" s="15" t="s">
        <v>170</v>
      </c>
      <c r="D282" s="21" t="s">
        <v>600</v>
      </c>
      <c r="E282" s="35" t="n">
        <v>250000</v>
      </c>
      <c r="F282" s="35" t="n">
        <v>0</v>
      </c>
      <c r="G282" s="35" t="n">
        <v>26819588</v>
      </c>
      <c r="H282" s="36" t="s">
        <v>172</v>
      </c>
    </row>
    <row r="283" customFormat="false" ht="17.15" hidden="false" customHeight="false" outlineLevel="0" collapsed="false">
      <c r="A283" s="21" t="s">
        <v>129</v>
      </c>
      <c r="B283" s="15" t="s">
        <v>601</v>
      </c>
      <c r="C283" s="15" t="s">
        <v>174</v>
      </c>
      <c r="D283" s="15" t="s">
        <v>175</v>
      </c>
      <c r="E283" s="35" t="n">
        <v>121000</v>
      </c>
      <c r="F283" s="35" t="n">
        <v>0</v>
      </c>
      <c r="G283" s="35" t="n">
        <v>27069588</v>
      </c>
      <c r="H283" s="37" t="s">
        <v>176</v>
      </c>
    </row>
    <row r="284" customFormat="false" ht="15" hidden="false" customHeight="false" outlineLevel="0" collapsed="false">
      <c r="A284" s="21" t="s">
        <v>129</v>
      </c>
      <c r="B284" s="15" t="s">
        <v>602</v>
      </c>
      <c r="C284" s="21" t="s">
        <v>163</v>
      </c>
      <c r="D284" s="15" t="s">
        <v>603</v>
      </c>
      <c r="E284" s="35" t="n">
        <v>6550</v>
      </c>
      <c r="F284" s="35" t="n">
        <v>0</v>
      </c>
      <c r="G284" s="35" t="n">
        <v>27190588</v>
      </c>
      <c r="H284" s="36" t="s">
        <v>165</v>
      </c>
    </row>
    <row r="285" customFormat="false" ht="15" hidden="false" customHeight="false" outlineLevel="0" collapsed="false">
      <c r="A285" s="21" t="s">
        <v>129</v>
      </c>
      <c r="B285" s="15" t="s">
        <v>604</v>
      </c>
      <c r="C285" s="21" t="s">
        <v>163</v>
      </c>
      <c r="D285" s="15" t="s">
        <v>605</v>
      </c>
      <c r="E285" s="35" t="n">
        <v>79120</v>
      </c>
      <c r="F285" s="35" t="n">
        <v>0</v>
      </c>
      <c r="G285" s="35" t="n">
        <v>27197138</v>
      </c>
      <c r="H285" s="36" t="s">
        <v>165</v>
      </c>
    </row>
    <row r="286" customFormat="false" ht="15" hidden="false" customHeight="false" outlineLevel="0" collapsed="false">
      <c r="A286" s="21" t="s">
        <v>129</v>
      </c>
      <c r="B286" s="15" t="s">
        <v>606</v>
      </c>
      <c r="C286" s="21" t="s">
        <v>163</v>
      </c>
      <c r="D286" s="15" t="s">
        <v>607</v>
      </c>
      <c r="E286" s="35" t="n">
        <v>5660</v>
      </c>
      <c r="F286" s="35" t="n">
        <v>0</v>
      </c>
      <c r="G286" s="35" t="n">
        <v>27276258</v>
      </c>
      <c r="H286" s="36" t="s">
        <v>165</v>
      </c>
    </row>
    <row r="287" customFormat="false" ht="15" hidden="false" customHeight="false" outlineLevel="0" collapsed="false">
      <c r="A287" s="21" t="s">
        <v>129</v>
      </c>
      <c r="B287" s="15" t="s">
        <v>608</v>
      </c>
      <c r="C287" s="21" t="s">
        <v>182</v>
      </c>
      <c r="D287" s="21" t="s">
        <v>183</v>
      </c>
      <c r="E287" s="35" t="n">
        <v>397320</v>
      </c>
      <c r="F287" s="35" t="n">
        <v>0</v>
      </c>
      <c r="G287" s="35" t="n">
        <v>27281918</v>
      </c>
      <c r="H287" s="36" t="s">
        <v>184</v>
      </c>
    </row>
    <row r="288" customFormat="false" ht="17.15" hidden="false" customHeight="false" outlineLevel="0" collapsed="false">
      <c r="A288" s="21" t="s">
        <v>129</v>
      </c>
      <c r="B288" s="15" t="s">
        <v>609</v>
      </c>
      <c r="C288" s="15" t="s">
        <v>170</v>
      </c>
      <c r="D288" s="15" t="s">
        <v>610</v>
      </c>
      <c r="E288" s="35" t="n">
        <v>173900</v>
      </c>
      <c r="F288" s="35" t="n">
        <v>0</v>
      </c>
      <c r="G288" s="35" t="n">
        <v>27679238</v>
      </c>
      <c r="H288" s="36" t="s">
        <v>187</v>
      </c>
    </row>
    <row r="289" customFormat="false" ht="17.15" hidden="false" customHeight="false" outlineLevel="0" collapsed="false">
      <c r="A289" s="21" t="s">
        <v>129</v>
      </c>
      <c r="B289" s="15" t="s">
        <v>609</v>
      </c>
      <c r="C289" s="15" t="s">
        <v>170</v>
      </c>
      <c r="D289" s="15" t="s">
        <v>611</v>
      </c>
      <c r="E289" s="35" t="n">
        <v>173900</v>
      </c>
      <c r="F289" s="35" t="n">
        <v>0</v>
      </c>
      <c r="G289" s="35" t="n">
        <v>27853138</v>
      </c>
      <c r="H289" s="36" t="s">
        <v>187</v>
      </c>
    </row>
    <row r="290" customFormat="false" ht="17.15" hidden="false" customHeight="false" outlineLevel="0" collapsed="false">
      <c r="A290" s="21" t="s">
        <v>129</v>
      </c>
      <c r="B290" s="15" t="s">
        <v>609</v>
      </c>
      <c r="C290" s="15" t="s">
        <v>170</v>
      </c>
      <c r="D290" s="15" t="s">
        <v>612</v>
      </c>
      <c r="E290" s="35" t="n">
        <v>173900</v>
      </c>
      <c r="F290" s="35" t="n">
        <v>0</v>
      </c>
      <c r="G290" s="35" t="n">
        <v>28027038</v>
      </c>
      <c r="H290" s="36" t="s">
        <v>187</v>
      </c>
    </row>
    <row r="291" customFormat="false" ht="17.15" hidden="false" customHeight="false" outlineLevel="0" collapsed="false">
      <c r="A291" s="21" t="s">
        <v>129</v>
      </c>
      <c r="B291" s="15" t="s">
        <v>609</v>
      </c>
      <c r="C291" s="15" t="s">
        <v>170</v>
      </c>
      <c r="D291" s="15" t="s">
        <v>613</v>
      </c>
      <c r="E291" s="35" t="n">
        <v>173900</v>
      </c>
      <c r="F291" s="35" t="n">
        <v>0</v>
      </c>
      <c r="G291" s="35" t="n">
        <v>28200938</v>
      </c>
      <c r="H291" s="36" t="s">
        <v>187</v>
      </c>
    </row>
    <row r="292" customFormat="false" ht="17.15" hidden="false" customHeight="false" outlineLevel="0" collapsed="false">
      <c r="A292" s="21" t="s">
        <v>129</v>
      </c>
      <c r="B292" s="15" t="s">
        <v>614</v>
      </c>
      <c r="C292" s="15" t="s">
        <v>170</v>
      </c>
      <c r="D292" s="15" t="s">
        <v>615</v>
      </c>
      <c r="E292" s="35" t="n">
        <v>175000</v>
      </c>
      <c r="F292" s="35" t="n">
        <v>0</v>
      </c>
      <c r="G292" s="35" t="n">
        <v>28374838</v>
      </c>
      <c r="H292" s="36" t="s">
        <v>187</v>
      </c>
    </row>
    <row r="293" customFormat="false" ht="17.15" hidden="false" customHeight="false" outlineLevel="0" collapsed="false">
      <c r="A293" s="30" t="s">
        <v>129</v>
      </c>
      <c r="B293" s="29" t="s">
        <v>616</v>
      </c>
      <c r="C293" s="30" t="s">
        <v>226</v>
      </c>
      <c r="D293" s="30" t="s">
        <v>617</v>
      </c>
      <c r="E293" s="33" t="n">
        <v>30000000</v>
      </c>
      <c r="F293" s="33" t="n">
        <v>0</v>
      </c>
      <c r="G293" s="33" t="n">
        <v>28549838</v>
      </c>
      <c r="H293" s="34" t="s">
        <v>454</v>
      </c>
    </row>
    <row r="294" customFormat="false" ht="17.15" hidden="false" customHeight="false" outlineLevel="0" collapsed="false">
      <c r="A294" s="30" t="s">
        <v>129</v>
      </c>
      <c r="B294" s="29" t="s">
        <v>618</v>
      </c>
      <c r="C294" s="30" t="s">
        <v>131</v>
      </c>
      <c r="D294" s="29" t="s">
        <v>54</v>
      </c>
      <c r="E294" s="33" t="n">
        <v>0</v>
      </c>
      <c r="F294" s="33" t="n">
        <v>33544214</v>
      </c>
      <c r="G294" s="33" t="n">
        <v>58549838</v>
      </c>
      <c r="H294" s="34" t="s">
        <v>132</v>
      </c>
    </row>
    <row r="295" customFormat="false" ht="17.15" hidden="false" customHeight="false" outlineLevel="0" collapsed="false">
      <c r="A295" s="30" t="s">
        <v>129</v>
      </c>
      <c r="B295" s="29" t="s">
        <v>619</v>
      </c>
      <c r="C295" s="30" t="s">
        <v>131</v>
      </c>
      <c r="D295" s="30" t="s">
        <v>57</v>
      </c>
      <c r="E295" s="33" t="n">
        <v>0</v>
      </c>
      <c r="F295" s="33" t="n">
        <v>6220236</v>
      </c>
      <c r="G295" s="33" t="n">
        <v>25005624</v>
      </c>
      <c r="H295" s="34" t="s">
        <v>132</v>
      </c>
    </row>
    <row r="296" customFormat="false" ht="17.15" hidden="false" customHeight="false" outlineLevel="0" collapsed="false">
      <c r="A296" s="21" t="s">
        <v>129</v>
      </c>
      <c r="B296" s="15" t="s">
        <v>620</v>
      </c>
      <c r="C296" s="21" t="s">
        <v>206</v>
      </c>
      <c r="D296" s="21" t="s">
        <v>207</v>
      </c>
      <c r="E296" s="35" t="n">
        <v>341940</v>
      </c>
      <c r="F296" s="35" t="n">
        <v>0</v>
      </c>
      <c r="G296" s="35" t="n">
        <v>18785388</v>
      </c>
      <c r="H296" s="36" t="s">
        <v>208</v>
      </c>
    </row>
    <row r="297" customFormat="false" ht="17.15" hidden="false" customHeight="false" outlineLevel="0" collapsed="false">
      <c r="A297" s="30" t="s">
        <v>129</v>
      </c>
      <c r="B297" s="29" t="s">
        <v>621</v>
      </c>
      <c r="C297" s="30" t="s">
        <v>131</v>
      </c>
      <c r="D297" s="30" t="s">
        <v>465</v>
      </c>
      <c r="E297" s="33" t="n">
        <v>0</v>
      </c>
      <c r="F297" s="33" t="n">
        <v>874830</v>
      </c>
      <c r="G297" s="33" t="n">
        <v>19127328</v>
      </c>
      <c r="H297" s="34" t="s">
        <v>132</v>
      </c>
    </row>
    <row r="298" customFormat="false" ht="17.15" hidden="false" customHeight="false" outlineLevel="0" collapsed="false">
      <c r="A298" s="21" t="s">
        <v>129</v>
      </c>
      <c r="B298" s="15" t="s">
        <v>622</v>
      </c>
      <c r="C298" s="15" t="s">
        <v>170</v>
      </c>
      <c r="D298" s="21" t="s">
        <v>623</v>
      </c>
      <c r="E298" s="35" t="n">
        <v>29700</v>
      </c>
      <c r="F298" s="35" t="n">
        <v>0</v>
      </c>
      <c r="G298" s="35" t="n">
        <v>18252498</v>
      </c>
      <c r="H298" s="36" t="s">
        <v>212</v>
      </c>
    </row>
    <row r="299" customFormat="false" ht="17.15" hidden="false" customHeight="false" outlineLevel="0" collapsed="false">
      <c r="A299" s="21" t="s">
        <v>129</v>
      </c>
      <c r="B299" s="15" t="s">
        <v>622</v>
      </c>
      <c r="C299" s="15" t="s">
        <v>170</v>
      </c>
      <c r="D299" s="21" t="s">
        <v>624</v>
      </c>
      <c r="E299" s="35" t="n">
        <v>42764</v>
      </c>
      <c r="F299" s="35" t="n">
        <v>0</v>
      </c>
      <c r="G299" s="35" t="n">
        <v>18282198</v>
      </c>
      <c r="H299" s="36" t="s">
        <v>212</v>
      </c>
    </row>
    <row r="300" customFormat="false" ht="17.15" hidden="false" customHeight="false" outlineLevel="0" collapsed="false">
      <c r="A300" s="30" t="s">
        <v>129</v>
      </c>
      <c r="B300" s="29" t="s">
        <v>625</v>
      </c>
      <c r="C300" s="30" t="s">
        <v>226</v>
      </c>
      <c r="D300" s="30" t="s">
        <v>617</v>
      </c>
      <c r="E300" s="33" t="n">
        <v>30000000</v>
      </c>
      <c r="F300" s="33" t="n">
        <v>0</v>
      </c>
      <c r="G300" s="33" t="n">
        <v>18324962</v>
      </c>
      <c r="H300" s="34" t="s">
        <v>454</v>
      </c>
    </row>
    <row r="301" customFormat="false" ht="17.15" hidden="false" customHeight="false" outlineLevel="0" collapsed="false">
      <c r="A301" s="30" t="s">
        <v>129</v>
      </c>
      <c r="B301" s="29" t="s">
        <v>626</v>
      </c>
      <c r="C301" s="30" t="s">
        <v>131</v>
      </c>
      <c r="D301" s="30" t="s">
        <v>60</v>
      </c>
      <c r="E301" s="33" t="n">
        <v>0</v>
      </c>
      <c r="F301" s="33" t="n">
        <v>2818310</v>
      </c>
      <c r="G301" s="33" t="n">
        <v>48324962</v>
      </c>
      <c r="H301" s="34" t="s">
        <v>132</v>
      </c>
    </row>
    <row r="302" customFormat="false" ht="17.15" hidden="false" customHeight="false" outlineLevel="0" collapsed="false">
      <c r="A302" s="21" t="s">
        <v>129</v>
      </c>
      <c r="B302" s="15" t="s">
        <v>627</v>
      </c>
      <c r="C302" s="21" t="s">
        <v>250</v>
      </c>
      <c r="D302" s="21" t="s">
        <v>251</v>
      </c>
      <c r="E302" s="35" t="n">
        <v>28780</v>
      </c>
      <c r="F302" s="35" t="n">
        <v>0</v>
      </c>
      <c r="G302" s="35" t="n">
        <v>45506652</v>
      </c>
      <c r="H302" s="36" t="s">
        <v>252</v>
      </c>
    </row>
    <row r="303" customFormat="false" ht="17.15" hidden="false" customHeight="false" outlineLevel="0" collapsed="false">
      <c r="A303" s="21" t="s">
        <v>129</v>
      </c>
      <c r="B303" s="15" t="s">
        <v>627</v>
      </c>
      <c r="C303" s="21" t="s">
        <v>250</v>
      </c>
      <c r="D303" s="21" t="s">
        <v>251</v>
      </c>
      <c r="E303" s="35" t="n">
        <v>30300</v>
      </c>
      <c r="F303" s="35" t="n">
        <v>0</v>
      </c>
      <c r="G303" s="35" t="n">
        <v>45535432</v>
      </c>
      <c r="H303" s="36" t="s">
        <v>252</v>
      </c>
    </row>
    <row r="304" customFormat="false" ht="17.15" hidden="false" customHeight="false" outlineLevel="0" collapsed="false">
      <c r="A304" s="21" t="s">
        <v>129</v>
      </c>
      <c r="B304" s="15" t="s">
        <v>628</v>
      </c>
      <c r="C304" s="21" t="s">
        <v>254</v>
      </c>
      <c r="D304" s="21" t="s">
        <v>629</v>
      </c>
      <c r="E304" s="35" t="n">
        <v>47200</v>
      </c>
      <c r="F304" s="35" t="n">
        <v>0</v>
      </c>
      <c r="G304" s="35" t="n">
        <v>45565732</v>
      </c>
      <c r="H304" s="37" t="s">
        <v>176</v>
      </c>
    </row>
    <row r="305" customFormat="false" ht="17.15" hidden="false" customHeight="false" outlineLevel="0" collapsed="false">
      <c r="A305" s="21" t="s">
        <v>129</v>
      </c>
      <c r="B305" s="15" t="s">
        <v>630</v>
      </c>
      <c r="C305" s="15" t="s">
        <v>170</v>
      </c>
      <c r="D305" s="21" t="s">
        <v>631</v>
      </c>
      <c r="E305" s="35" t="n">
        <v>20000</v>
      </c>
      <c r="F305" s="35" t="n">
        <v>0</v>
      </c>
      <c r="G305" s="35" t="n">
        <v>45612932</v>
      </c>
      <c r="H305" s="36" t="s">
        <v>212</v>
      </c>
    </row>
    <row r="306" customFormat="false" ht="17.15" hidden="false" customHeight="false" outlineLevel="0" collapsed="false">
      <c r="A306" s="30" t="s">
        <v>129</v>
      </c>
      <c r="B306" s="29" t="s">
        <v>632</v>
      </c>
      <c r="C306" s="30" t="s">
        <v>131</v>
      </c>
      <c r="D306" s="30" t="s">
        <v>633</v>
      </c>
      <c r="E306" s="33" t="n">
        <v>0</v>
      </c>
      <c r="F306" s="33" t="n">
        <v>396138</v>
      </c>
      <c r="G306" s="33" t="n">
        <v>45632932</v>
      </c>
      <c r="H306" s="34" t="s">
        <v>132</v>
      </c>
    </row>
    <row r="307" customFormat="false" ht="17.15" hidden="false" customHeight="false" outlineLevel="0" collapsed="false">
      <c r="A307" s="30" t="s">
        <v>129</v>
      </c>
      <c r="B307" s="29" t="s">
        <v>634</v>
      </c>
      <c r="C307" s="30" t="s">
        <v>131</v>
      </c>
      <c r="D307" s="29" t="s">
        <v>66</v>
      </c>
      <c r="E307" s="33" t="n">
        <v>0</v>
      </c>
      <c r="F307" s="33" t="n">
        <v>688380</v>
      </c>
      <c r="G307" s="33" t="n">
        <v>45236794</v>
      </c>
      <c r="H307" s="34" t="s">
        <v>132</v>
      </c>
    </row>
    <row r="308" customFormat="false" ht="17.15" hidden="false" customHeight="false" outlineLevel="0" collapsed="false">
      <c r="A308" s="30" t="s">
        <v>129</v>
      </c>
      <c r="B308" s="29" t="s">
        <v>635</v>
      </c>
      <c r="C308" s="30" t="s">
        <v>206</v>
      </c>
      <c r="D308" s="30" t="s">
        <v>636</v>
      </c>
      <c r="E308" s="33" t="n">
        <v>0</v>
      </c>
      <c r="F308" s="33" t="n">
        <v>1800000</v>
      </c>
      <c r="G308" s="33" t="n">
        <v>44548414</v>
      </c>
      <c r="H308" s="34" t="s">
        <v>334</v>
      </c>
    </row>
    <row r="309" customFormat="false" ht="17.15" hidden="false" customHeight="false" outlineLevel="0" collapsed="false">
      <c r="A309" s="30" t="s">
        <v>129</v>
      </c>
      <c r="B309" s="29" t="s">
        <v>635</v>
      </c>
      <c r="C309" s="30" t="s">
        <v>206</v>
      </c>
      <c r="D309" s="30" t="s">
        <v>636</v>
      </c>
      <c r="E309" s="33" t="n">
        <v>0</v>
      </c>
      <c r="F309" s="33" t="n">
        <v>1800000</v>
      </c>
      <c r="G309" s="33" t="n">
        <v>42748414</v>
      </c>
      <c r="H309" s="34" t="s">
        <v>334</v>
      </c>
    </row>
    <row r="310" customFormat="false" ht="17.15" hidden="false" customHeight="false" outlineLevel="0" collapsed="false">
      <c r="A310" s="30" t="s">
        <v>129</v>
      </c>
      <c r="B310" s="29" t="s">
        <v>637</v>
      </c>
      <c r="C310" s="30" t="s">
        <v>131</v>
      </c>
      <c r="D310" s="29" t="s">
        <v>58</v>
      </c>
      <c r="E310" s="33" t="n">
        <v>0</v>
      </c>
      <c r="F310" s="33" t="n">
        <v>1757316</v>
      </c>
      <c r="G310" s="33" t="n">
        <v>40948414</v>
      </c>
      <c r="H310" s="34" t="s">
        <v>132</v>
      </c>
    </row>
    <row r="311" customFormat="false" ht="17.15" hidden="false" customHeight="false" outlineLevel="0" collapsed="false">
      <c r="A311" s="30" t="s">
        <v>129</v>
      </c>
      <c r="B311" s="29" t="s">
        <v>638</v>
      </c>
      <c r="C311" s="30" t="s">
        <v>131</v>
      </c>
      <c r="D311" s="29" t="s">
        <v>55</v>
      </c>
      <c r="E311" s="33" t="n">
        <v>0</v>
      </c>
      <c r="F311" s="33" t="n">
        <v>2130359</v>
      </c>
      <c r="G311" s="33" t="n">
        <v>39191098</v>
      </c>
      <c r="H311" s="34" t="s">
        <v>132</v>
      </c>
    </row>
    <row r="312" customFormat="false" ht="17.15" hidden="false" customHeight="false" outlineLevel="0" collapsed="false">
      <c r="A312" s="30" t="s">
        <v>129</v>
      </c>
      <c r="B312" s="29" t="s">
        <v>639</v>
      </c>
      <c r="C312" s="30" t="s">
        <v>131</v>
      </c>
      <c r="D312" s="30" t="s">
        <v>311</v>
      </c>
      <c r="E312" s="33" t="n">
        <v>0</v>
      </c>
      <c r="F312" s="33" t="n">
        <v>2129325</v>
      </c>
      <c r="G312" s="33" t="n">
        <v>37060739</v>
      </c>
      <c r="H312" s="34" t="s">
        <v>132</v>
      </c>
    </row>
    <row r="313" customFormat="false" ht="17.15" hidden="false" customHeight="false" outlineLevel="0" collapsed="false">
      <c r="A313" s="30" t="s">
        <v>129</v>
      </c>
      <c r="B313" s="29" t="s">
        <v>640</v>
      </c>
      <c r="C313" s="30" t="s">
        <v>131</v>
      </c>
      <c r="D313" s="30" t="s">
        <v>56</v>
      </c>
      <c r="E313" s="33" t="n">
        <v>0</v>
      </c>
      <c r="F313" s="33" t="n">
        <v>9224050</v>
      </c>
      <c r="G313" s="33" t="n">
        <v>34931414</v>
      </c>
      <c r="H313" s="34" t="s">
        <v>132</v>
      </c>
    </row>
    <row r="314" customFormat="false" ht="17.15" hidden="false" customHeight="false" outlineLevel="0" collapsed="false">
      <c r="A314" s="30" t="s">
        <v>129</v>
      </c>
      <c r="B314" s="29" t="s">
        <v>641</v>
      </c>
      <c r="C314" s="30" t="s">
        <v>131</v>
      </c>
      <c r="D314" s="29" t="s">
        <v>67</v>
      </c>
      <c r="E314" s="33" t="n">
        <v>0</v>
      </c>
      <c r="F314" s="33" t="n">
        <v>956560</v>
      </c>
      <c r="G314" s="33" t="n">
        <v>25707364</v>
      </c>
      <c r="H314" s="34" t="s">
        <v>132</v>
      </c>
    </row>
    <row r="315" customFormat="false" ht="15" hidden="false" customHeight="false" outlineLevel="0" collapsed="false">
      <c r="A315" s="21" t="s">
        <v>129</v>
      </c>
      <c r="B315" s="15" t="s">
        <v>642</v>
      </c>
      <c r="C315" s="21" t="s">
        <v>163</v>
      </c>
      <c r="D315" s="15" t="s">
        <v>643</v>
      </c>
      <c r="E315" s="35" t="n">
        <v>6550</v>
      </c>
      <c r="F315" s="35" t="n">
        <v>0</v>
      </c>
      <c r="G315" s="35" t="n">
        <v>24750804</v>
      </c>
      <c r="H315" s="36" t="s">
        <v>165</v>
      </c>
    </row>
    <row r="316" customFormat="false" ht="17.15" hidden="false" customHeight="false" outlineLevel="0" collapsed="false">
      <c r="A316" s="21" t="s">
        <v>129</v>
      </c>
      <c r="B316" s="15" t="s">
        <v>644</v>
      </c>
      <c r="C316" s="15" t="s">
        <v>170</v>
      </c>
      <c r="D316" s="21" t="s">
        <v>645</v>
      </c>
      <c r="E316" s="35" t="n">
        <v>250000</v>
      </c>
      <c r="F316" s="35" t="n">
        <v>0</v>
      </c>
      <c r="G316" s="35" t="n">
        <v>24757354</v>
      </c>
      <c r="H316" s="36" t="s">
        <v>172</v>
      </c>
    </row>
    <row r="317" customFormat="false" ht="17.15" hidden="false" customHeight="false" outlineLevel="0" collapsed="false">
      <c r="A317" s="21" t="s">
        <v>129</v>
      </c>
      <c r="B317" s="15" t="s">
        <v>646</v>
      </c>
      <c r="C317" s="15" t="s">
        <v>174</v>
      </c>
      <c r="D317" s="15" t="s">
        <v>175</v>
      </c>
      <c r="E317" s="35" t="n">
        <v>121000</v>
      </c>
      <c r="F317" s="35" t="n">
        <v>0</v>
      </c>
      <c r="G317" s="35" t="n">
        <v>25007354</v>
      </c>
      <c r="H317" s="37" t="s">
        <v>176</v>
      </c>
    </row>
    <row r="318" customFormat="false" ht="15" hidden="false" customHeight="false" outlineLevel="0" collapsed="false">
      <c r="A318" s="21" t="s">
        <v>129</v>
      </c>
      <c r="B318" s="15" t="s">
        <v>647</v>
      </c>
      <c r="C318" s="21" t="s">
        <v>163</v>
      </c>
      <c r="D318" s="15" t="s">
        <v>648</v>
      </c>
      <c r="E318" s="35" t="n">
        <v>77000</v>
      </c>
      <c r="F318" s="35" t="n">
        <v>0</v>
      </c>
      <c r="G318" s="35" t="n">
        <v>25128354</v>
      </c>
      <c r="H318" s="36" t="s">
        <v>165</v>
      </c>
    </row>
    <row r="319" customFormat="false" ht="15" hidden="false" customHeight="false" outlineLevel="0" collapsed="false">
      <c r="A319" s="21" t="s">
        <v>129</v>
      </c>
      <c r="B319" s="15" t="s">
        <v>649</v>
      </c>
      <c r="C319" s="21" t="s">
        <v>163</v>
      </c>
      <c r="D319" s="15" t="s">
        <v>650</v>
      </c>
      <c r="E319" s="35" t="n">
        <v>5660</v>
      </c>
      <c r="F319" s="35" t="n">
        <v>0</v>
      </c>
      <c r="G319" s="35" t="n">
        <v>25205354</v>
      </c>
      <c r="H319" s="36" t="s">
        <v>165</v>
      </c>
    </row>
    <row r="320" customFormat="false" ht="15" hidden="false" customHeight="false" outlineLevel="0" collapsed="false">
      <c r="A320" s="21" t="s">
        <v>129</v>
      </c>
      <c r="B320" s="15" t="s">
        <v>651</v>
      </c>
      <c r="C320" s="21" t="s">
        <v>182</v>
      </c>
      <c r="D320" s="21" t="s">
        <v>183</v>
      </c>
      <c r="E320" s="35" t="n">
        <v>1135100</v>
      </c>
      <c r="F320" s="35" t="n">
        <v>0</v>
      </c>
      <c r="G320" s="35" t="n">
        <v>25211014</v>
      </c>
      <c r="H320" s="36" t="s">
        <v>184</v>
      </c>
    </row>
    <row r="321" customFormat="false" ht="17.15" hidden="false" customHeight="false" outlineLevel="0" collapsed="false">
      <c r="A321" s="30" t="s">
        <v>129</v>
      </c>
      <c r="B321" s="29" t="s">
        <v>652</v>
      </c>
      <c r="C321" s="30" t="s">
        <v>441</v>
      </c>
      <c r="D321" s="29" t="s">
        <v>653</v>
      </c>
      <c r="E321" s="33" t="n">
        <v>0</v>
      </c>
      <c r="F321" s="33" t="n">
        <v>7110</v>
      </c>
      <c r="G321" s="33" t="n">
        <v>26346114</v>
      </c>
      <c r="H321" s="34" t="s">
        <v>443</v>
      </c>
    </row>
    <row r="322" customFormat="false" ht="17.15" hidden="false" customHeight="false" outlineLevel="0" collapsed="false">
      <c r="A322" s="21" t="s">
        <v>129</v>
      </c>
      <c r="B322" s="15" t="s">
        <v>654</v>
      </c>
      <c r="C322" s="15" t="s">
        <v>170</v>
      </c>
      <c r="D322" s="15" t="s">
        <v>655</v>
      </c>
      <c r="E322" s="35" t="n">
        <v>173900</v>
      </c>
      <c r="F322" s="35" t="n">
        <v>0</v>
      </c>
      <c r="G322" s="35" t="n">
        <v>26339004</v>
      </c>
      <c r="H322" s="36" t="s">
        <v>187</v>
      </c>
    </row>
    <row r="323" customFormat="false" ht="17.15" hidden="false" customHeight="false" outlineLevel="0" collapsed="false">
      <c r="A323" s="21" t="s">
        <v>129</v>
      </c>
      <c r="B323" s="15" t="s">
        <v>654</v>
      </c>
      <c r="C323" s="15" t="s">
        <v>170</v>
      </c>
      <c r="D323" s="15" t="s">
        <v>656</v>
      </c>
      <c r="E323" s="35" t="n">
        <v>173900</v>
      </c>
      <c r="F323" s="35" t="n">
        <v>0</v>
      </c>
      <c r="G323" s="35" t="n">
        <v>26512904</v>
      </c>
      <c r="H323" s="36" t="s">
        <v>187</v>
      </c>
    </row>
    <row r="324" customFormat="false" ht="17.15" hidden="false" customHeight="false" outlineLevel="0" collapsed="false">
      <c r="A324" s="21" t="s">
        <v>129</v>
      </c>
      <c r="B324" s="15" t="s">
        <v>654</v>
      </c>
      <c r="C324" s="15" t="s">
        <v>170</v>
      </c>
      <c r="D324" s="15" t="s">
        <v>657</v>
      </c>
      <c r="E324" s="35" t="n">
        <v>173900</v>
      </c>
      <c r="F324" s="35" t="n">
        <v>0</v>
      </c>
      <c r="G324" s="35" t="n">
        <v>26686804</v>
      </c>
      <c r="H324" s="36" t="s">
        <v>187</v>
      </c>
    </row>
    <row r="325" customFormat="false" ht="17.15" hidden="false" customHeight="false" outlineLevel="0" collapsed="false">
      <c r="A325" s="21" t="s">
        <v>129</v>
      </c>
      <c r="B325" s="15" t="s">
        <v>658</v>
      </c>
      <c r="C325" s="15" t="s">
        <v>170</v>
      </c>
      <c r="D325" s="15" t="s">
        <v>659</v>
      </c>
      <c r="E325" s="35" t="n">
        <v>173900</v>
      </c>
      <c r="F325" s="35" t="n">
        <v>0</v>
      </c>
      <c r="G325" s="35" t="n">
        <v>26860704</v>
      </c>
      <c r="H325" s="36" t="s">
        <v>187</v>
      </c>
    </row>
    <row r="326" customFormat="false" ht="17.15" hidden="false" customHeight="false" outlineLevel="0" collapsed="false">
      <c r="A326" s="21" t="s">
        <v>129</v>
      </c>
      <c r="B326" s="15" t="s">
        <v>658</v>
      </c>
      <c r="C326" s="15" t="s">
        <v>170</v>
      </c>
      <c r="D326" s="15" t="s">
        <v>660</v>
      </c>
      <c r="E326" s="35" t="n">
        <v>175000</v>
      </c>
      <c r="F326" s="35" t="n">
        <v>0</v>
      </c>
      <c r="G326" s="35" t="n">
        <v>27034604</v>
      </c>
      <c r="H326" s="36" t="s">
        <v>187</v>
      </c>
    </row>
    <row r="327" customFormat="false" ht="17.15" hidden="false" customHeight="false" outlineLevel="0" collapsed="false">
      <c r="A327" s="30" t="s">
        <v>129</v>
      </c>
      <c r="B327" s="29" t="s">
        <v>661</v>
      </c>
      <c r="C327" s="30" t="s">
        <v>131</v>
      </c>
      <c r="D327" s="30" t="s">
        <v>57</v>
      </c>
      <c r="E327" s="33" t="n">
        <v>0</v>
      </c>
      <c r="F327" s="33" t="n">
        <v>2956822</v>
      </c>
      <c r="G327" s="33" t="n">
        <v>27209604</v>
      </c>
      <c r="H327" s="34" t="s">
        <v>132</v>
      </c>
    </row>
    <row r="328" customFormat="false" ht="17.15" hidden="false" customHeight="false" outlineLevel="0" collapsed="false">
      <c r="A328" s="30" t="s">
        <v>129</v>
      </c>
      <c r="B328" s="29" t="s">
        <v>662</v>
      </c>
      <c r="C328" s="30" t="s">
        <v>226</v>
      </c>
      <c r="D328" s="30" t="s">
        <v>617</v>
      </c>
      <c r="E328" s="33" t="n">
        <v>20000000</v>
      </c>
      <c r="F328" s="33" t="n">
        <v>0</v>
      </c>
      <c r="G328" s="33" t="n">
        <v>24252782</v>
      </c>
      <c r="H328" s="34" t="s">
        <v>454</v>
      </c>
    </row>
    <row r="329" customFormat="false" ht="17.15" hidden="false" customHeight="false" outlineLevel="0" collapsed="false">
      <c r="A329" s="30" t="s">
        <v>129</v>
      </c>
      <c r="B329" s="29" t="s">
        <v>663</v>
      </c>
      <c r="C329" s="30" t="s">
        <v>131</v>
      </c>
      <c r="D329" s="29" t="s">
        <v>54</v>
      </c>
      <c r="E329" s="33" t="n">
        <v>0</v>
      </c>
      <c r="F329" s="33" t="n">
        <v>32223763</v>
      </c>
      <c r="G329" s="33" t="n">
        <v>44252782</v>
      </c>
      <c r="H329" s="34" t="s">
        <v>132</v>
      </c>
    </row>
    <row r="330" customFormat="false" ht="17.15" hidden="false" customHeight="false" outlineLevel="0" collapsed="false">
      <c r="A330" s="21" t="s">
        <v>129</v>
      </c>
      <c r="B330" s="15" t="s">
        <v>664</v>
      </c>
      <c r="C330" s="21" t="s">
        <v>206</v>
      </c>
      <c r="D330" s="21" t="s">
        <v>207</v>
      </c>
      <c r="E330" s="35" t="n">
        <v>731440</v>
      </c>
      <c r="F330" s="35" t="n">
        <v>0</v>
      </c>
      <c r="G330" s="35" t="n">
        <v>12029019</v>
      </c>
      <c r="H330" s="36" t="s">
        <v>208</v>
      </c>
    </row>
    <row r="331" customFormat="false" ht="17.15" hidden="false" customHeight="false" outlineLevel="0" collapsed="false">
      <c r="A331" s="21" t="s">
        <v>129</v>
      </c>
      <c r="B331" s="15" t="s">
        <v>665</v>
      </c>
      <c r="C331" s="15" t="s">
        <v>170</v>
      </c>
      <c r="D331" s="21" t="s">
        <v>666</v>
      </c>
      <c r="E331" s="35" t="n">
        <v>29700</v>
      </c>
      <c r="F331" s="35" t="n">
        <v>0</v>
      </c>
      <c r="G331" s="35" t="n">
        <v>12760459</v>
      </c>
      <c r="H331" s="36" t="s">
        <v>212</v>
      </c>
    </row>
    <row r="332" customFormat="false" ht="17.15" hidden="false" customHeight="false" outlineLevel="0" collapsed="false">
      <c r="A332" s="21" t="s">
        <v>129</v>
      </c>
      <c r="B332" s="15" t="s">
        <v>667</v>
      </c>
      <c r="C332" s="15" t="s">
        <v>170</v>
      </c>
      <c r="D332" s="21" t="s">
        <v>668</v>
      </c>
      <c r="E332" s="35" t="n">
        <v>42764</v>
      </c>
      <c r="F332" s="35" t="n">
        <v>0</v>
      </c>
      <c r="G332" s="35" t="n">
        <v>12790159</v>
      </c>
      <c r="H332" s="36" t="s">
        <v>212</v>
      </c>
    </row>
    <row r="333" customFormat="false" ht="17.15" hidden="false" customHeight="false" outlineLevel="0" collapsed="false">
      <c r="A333" s="30" t="s">
        <v>129</v>
      </c>
      <c r="B333" s="29" t="s">
        <v>669</v>
      </c>
      <c r="C333" s="30" t="s">
        <v>131</v>
      </c>
      <c r="D333" s="30" t="s">
        <v>465</v>
      </c>
      <c r="E333" s="33" t="n">
        <v>0</v>
      </c>
      <c r="F333" s="33" t="n">
        <v>934725</v>
      </c>
      <c r="G333" s="33" t="n">
        <v>12832923</v>
      </c>
      <c r="H333" s="34" t="s">
        <v>132</v>
      </c>
    </row>
    <row r="334" customFormat="false" ht="17.15" hidden="false" customHeight="false" outlineLevel="0" collapsed="false">
      <c r="A334" s="30" t="s">
        <v>129</v>
      </c>
      <c r="B334" s="29" t="s">
        <v>670</v>
      </c>
      <c r="C334" s="30" t="s">
        <v>226</v>
      </c>
      <c r="D334" s="30" t="s">
        <v>617</v>
      </c>
      <c r="E334" s="33" t="n">
        <v>10000000</v>
      </c>
      <c r="F334" s="33" t="n">
        <v>0</v>
      </c>
      <c r="G334" s="33" t="n">
        <v>11898198</v>
      </c>
      <c r="H334" s="34" t="s">
        <v>454</v>
      </c>
    </row>
    <row r="335" customFormat="false" ht="17.15" hidden="false" customHeight="false" outlineLevel="0" collapsed="false">
      <c r="A335" s="21" t="s">
        <v>129</v>
      </c>
      <c r="B335" s="15" t="s">
        <v>671</v>
      </c>
      <c r="C335" s="21" t="s">
        <v>672</v>
      </c>
      <c r="D335" s="21" t="s">
        <v>673</v>
      </c>
      <c r="E335" s="35" t="n">
        <v>4400</v>
      </c>
      <c r="F335" s="35" t="n">
        <v>0</v>
      </c>
      <c r="G335" s="35" t="n">
        <v>21898198</v>
      </c>
      <c r="H335" s="36" t="s">
        <v>494</v>
      </c>
    </row>
    <row r="336" customFormat="false" ht="17.15" hidden="false" customHeight="false" outlineLevel="0" collapsed="false">
      <c r="A336" s="21" t="s">
        <v>129</v>
      </c>
      <c r="B336" s="15" t="s">
        <v>674</v>
      </c>
      <c r="C336" s="21" t="s">
        <v>250</v>
      </c>
      <c r="D336" s="21" t="s">
        <v>251</v>
      </c>
      <c r="E336" s="35" t="n">
        <v>28780</v>
      </c>
      <c r="F336" s="35" t="n">
        <v>0</v>
      </c>
      <c r="G336" s="35" t="n">
        <v>21902598</v>
      </c>
      <c r="H336" s="36" t="s">
        <v>252</v>
      </c>
    </row>
    <row r="337" customFormat="false" ht="17.15" hidden="false" customHeight="false" outlineLevel="0" collapsed="false">
      <c r="A337" s="21" t="s">
        <v>129</v>
      </c>
      <c r="B337" s="15" t="s">
        <v>674</v>
      </c>
      <c r="C337" s="21" t="s">
        <v>250</v>
      </c>
      <c r="D337" s="21" t="s">
        <v>251</v>
      </c>
      <c r="E337" s="35" t="n">
        <v>30300</v>
      </c>
      <c r="F337" s="35" t="n">
        <v>0</v>
      </c>
      <c r="G337" s="35" t="n">
        <v>21931378</v>
      </c>
      <c r="H337" s="36" t="s">
        <v>252</v>
      </c>
    </row>
    <row r="338" customFormat="false" ht="17.15" hidden="false" customHeight="false" outlineLevel="0" collapsed="false">
      <c r="A338" s="30" t="s">
        <v>129</v>
      </c>
      <c r="B338" s="29" t="s">
        <v>675</v>
      </c>
      <c r="C338" s="30" t="s">
        <v>131</v>
      </c>
      <c r="D338" s="30" t="s">
        <v>60</v>
      </c>
      <c r="E338" s="33" t="n">
        <v>0</v>
      </c>
      <c r="F338" s="33" t="n">
        <v>1459150</v>
      </c>
      <c r="G338" s="33" t="n">
        <v>21961678</v>
      </c>
      <c r="H338" s="34" t="s">
        <v>132</v>
      </c>
    </row>
    <row r="339" customFormat="false" ht="17.15" hidden="false" customHeight="false" outlineLevel="0" collapsed="false">
      <c r="A339" s="21" t="s">
        <v>129</v>
      </c>
      <c r="B339" s="15" t="s">
        <v>676</v>
      </c>
      <c r="C339" s="21" t="s">
        <v>254</v>
      </c>
      <c r="D339" s="21" t="s">
        <v>677</v>
      </c>
      <c r="E339" s="35" t="n">
        <v>47200</v>
      </c>
      <c r="F339" s="35" t="n">
        <v>0</v>
      </c>
      <c r="G339" s="35" t="n">
        <v>20502528</v>
      </c>
      <c r="H339" s="37" t="s">
        <v>176</v>
      </c>
    </row>
    <row r="340" customFormat="false" ht="17.15" hidden="false" customHeight="false" outlineLevel="0" collapsed="false">
      <c r="A340" s="21" t="s">
        <v>129</v>
      </c>
      <c r="B340" s="15" t="s">
        <v>678</v>
      </c>
      <c r="C340" s="15" t="s">
        <v>170</v>
      </c>
      <c r="D340" s="21" t="s">
        <v>679</v>
      </c>
      <c r="E340" s="35" t="n">
        <v>20000</v>
      </c>
      <c r="F340" s="35" t="n">
        <v>0</v>
      </c>
      <c r="G340" s="35" t="n">
        <v>20549728</v>
      </c>
      <c r="H340" s="36" t="s">
        <v>212</v>
      </c>
    </row>
    <row r="341" customFormat="false" ht="17.15" hidden="false" customHeight="false" outlineLevel="0" collapsed="false">
      <c r="A341" s="30" t="s">
        <v>129</v>
      </c>
      <c r="B341" s="29" t="s">
        <v>680</v>
      </c>
      <c r="C341" s="30" t="s">
        <v>226</v>
      </c>
      <c r="D341" s="30" t="s">
        <v>617</v>
      </c>
      <c r="E341" s="33" t="n">
        <v>50000000</v>
      </c>
      <c r="F341" s="33" t="n">
        <v>0</v>
      </c>
      <c r="G341" s="33" t="n">
        <v>20569728</v>
      </c>
      <c r="H341" s="34" t="s">
        <v>454</v>
      </c>
    </row>
    <row r="342" customFormat="false" ht="17.15" hidden="false" customHeight="false" outlineLevel="0" collapsed="false">
      <c r="A342" s="30" t="s">
        <v>129</v>
      </c>
      <c r="B342" s="29" t="s">
        <v>681</v>
      </c>
      <c r="C342" s="30" t="s">
        <v>131</v>
      </c>
      <c r="D342" s="29" t="s">
        <v>55</v>
      </c>
      <c r="E342" s="33" t="n">
        <v>0</v>
      </c>
      <c r="F342" s="33" t="n">
        <v>3981648</v>
      </c>
      <c r="G342" s="33" t="n">
        <v>70569728</v>
      </c>
      <c r="H342" s="34" t="s">
        <v>132</v>
      </c>
    </row>
    <row r="343" customFormat="false" ht="17.15" hidden="false" customHeight="false" outlineLevel="0" collapsed="false">
      <c r="A343" s="30" t="s">
        <v>129</v>
      </c>
      <c r="B343" s="29" t="s">
        <v>682</v>
      </c>
      <c r="C343" s="30" t="s">
        <v>131</v>
      </c>
      <c r="D343" s="29" t="s">
        <v>63</v>
      </c>
      <c r="E343" s="33" t="n">
        <v>0</v>
      </c>
      <c r="F343" s="33" t="n">
        <v>616000</v>
      </c>
      <c r="G343" s="33" t="n">
        <v>66588080</v>
      </c>
      <c r="H343" s="34" t="s">
        <v>132</v>
      </c>
    </row>
    <row r="344" customFormat="false" ht="17.15" hidden="false" customHeight="false" outlineLevel="0" collapsed="false">
      <c r="A344" s="30" t="s">
        <v>129</v>
      </c>
      <c r="B344" s="29" t="s">
        <v>683</v>
      </c>
      <c r="C344" s="30" t="s">
        <v>131</v>
      </c>
      <c r="D344" s="29" t="s">
        <v>134</v>
      </c>
      <c r="E344" s="33" t="n">
        <v>0</v>
      </c>
      <c r="F344" s="33" t="n">
        <v>192500</v>
      </c>
      <c r="G344" s="33" t="n">
        <v>65972080</v>
      </c>
      <c r="H344" s="34" t="s">
        <v>132</v>
      </c>
    </row>
    <row r="345" customFormat="false" ht="17.15" hidden="false" customHeight="false" outlineLevel="0" collapsed="false">
      <c r="A345" s="30" t="s">
        <v>129</v>
      </c>
      <c r="B345" s="29" t="s">
        <v>684</v>
      </c>
      <c r="C345" s="30" t="s">
        <v>131</v>
      </c>
      <c r="D345" s="30" t="s">
        <v>311</v>
      </c>
      <c r="E345" s="33" t="n">
        <v>0</v>
      </c>
      <c r="F345" s="33" t="n">
        <v>4691280</v>
      </c>
      <c r="G345" s="33" t="n">
        <v>65779580</v>
      </c>
      <c r="H345" s="34" t="s">
        <v>132</v>
      </c>
    </row>
    <row r="346" customFormat="false" ht="17.15" hidden="false" customHeight="false" outlineLevel="0" collapsed="false">
      <c r="A346" s="30" t="s">
        <v>129</v>
      </c>
      <c r="B346" s="29" t="s">
        <v>685</v>
      </c>
      <c r="C346" s="30" t="s">
        <v>131</v>
      </c>
      <c r="D346" s="30" t="s">
        <v>56</v>
      </c>
      <c r="E346" s="33" t="n">
        <v>0</v>
      </c>
      <c r="F346" s="33" t="n">
        <v>1034000</v>
      </c>
      <c r="G346" s="33" t="n">
        <v>61088300</v>
      </c>
      <c r="H346" s="34" t="s">
        <v>132</v>
      </c>
    </row>
    <row r="347" customFormat="false" ht="15" hidden="false" customHeight="false" outlineLevel="0" collapsed="false">
      <c r="A347" s="21" t="s">
        <v>129</v>
      </c>
      <c r="B347" s="15" t="s">
        <v>686</v>
      </c>
      <c r="C347" s="21" t="s">
        <v>163</v>
      </c>
      <c r="D347" s="15" t="s">
        <v>687</v>
      </c>
      <c r="E347" s="35" t="n">
        <v>90</v>
      </c>
      <c r="F347" s="35" t="n">
        <v>0</v>
      </c>
      <c r="G347" s="35" t="n">
        <v>60054300</v>
      </c>
      <c r="H347" s="36" t="s">
        <v>165</v>
      </c>
    </row>
    <row r="348" customFormat="false" ht="17.15" hidden="false" customHeight="false" outlineLevel="0" collapsed="false">
      <c r="A348" s="30" t="s">
        <v>129</v>
      </c>
      <c r="B348" s="29" t="s">
        <v>688</v>
      </c>
      <c r="C348" s="30" t="s">
        <v>131</v>
      </c>
      <c r="D348" s="29" t="s">
        <v>58</v>
      </c>
      <c r="E348" s="33" t="n">
        <v>0</v>
      </c>
      <c r="F348" s="33" t="n">
        <v>1314335</v>
      </c>
      <c r="G348" s="33" t="n">
        <v>60054390</v>
      </c>
      <c r="H348" s="34" t="s">
        <v>132</v>
      </c>
    </row>
    <row r="349" customFormat="false" ht="17.15" hidden="false" customHeight="false" outlineLevel="0" collapsed="false">
      <c r="A349" s="21" t="s">
        <v>129</v>
      </c>
      <c r="B349" s="15" t="s">
        <v>689</v>
      </c>
      <c r="C349" s="15" t="s">
        <v>170</v>
      </c>
      <c r="D349" s="21" t="s">
        <v>690</v>
      </c>
      <c r="E349" s="35" t="n">
        <v>250000</v>
      </c>
      <c r="F349" s="35" t="n">
        <v>0</v>
      </c>
      <c r="G349" s="35" t="n">
        <v>58740055</v>
      </c>
      <c r="H349" s="36" t="s">
        <v>172</v>
      </c>
    </row>
    <row r="350" customFormat="false" ht="17.15" hidden="false" customHeight="false" outlineLevel="0" collapsed="false">
      <c r="A350" s="21" t="s">
        <v>129</v>
      </c>
      <c r="B350" s="15" t="s">
        <v>691</v>
      </c>
      <c r="C350" s="15" t="s">
        <v>174</v>
      </c>
      <c r="D350" s="15" t="s">
        <v>175</v>
      </c>
      <c r="E350" s="35" t="n">
        <v>121000</v>
      </c>
      <c r="F350" s="35" t="n">
        <v>0</v>
      </c>
      <c r="G350" s="35" t="n">
        <v>58990055</v>
      </c>
      <c r="H350" s="37" t="s">
        <v>176</v>
      </c>
    </row>
    <row r="351" customFormat="false" ht="15" hidden="false" customHeight="false" outlineLevel="0" collapsed="false">
      <c r="A351" s="21" t="s">
        <v>129</v>
      </c>
      <c r="B351" s="15" t="s">
        <v>692</v>
      </c>
      <c r="C351" s="21" t="s">
        <v>163</v>
      </c>
      <c r="D351" s="15" t="s">
        <v>693</v>
      </c>
      <c r="E351" s="35" t="n">
        <v>80710</v>
      </c>
      <c r="F351" s="35" t="n">
        <v>0</v>
      </c>
      <c r="G351" s="35" t="n">
        <v>59111055</v>
      </c>
      <c r="H351" s="36" t="s">
        <v>165</v>
      </c>
    </row>
    <row r="352" customFormat="false" ht="15" hidden="false" customHeight="false" outlineLevel="0" collapsed="false">
      <c r="A352" s="21" t="s">
        <v>129</v>
      </c>
      <c r="B352" s="15" t="s">
        <v>694</v>
      </c>
      <c r="C352" s="21" t="s">
        <v>163</v>
      </c>
      <c r="D352" s="15" t="s">
        <v>695</v>
      </c>
      <c r="E352" s="35" t="n">
        <v>5660</v>
      </c>
      <c r="F352" s="35" t="n">
        <v>0</v>
      </c>
      <c r="G352" s="35" t="n">
        <v>59191765</v>
      </c>
      <c r="H352" s="36" t="s">
        <v>165</v>
      </c>
    </row>
    <row r="353" customFormat="false" ht="17.15" hidden="false" customHeight="false" outlineLevel="0" collapsed="false">
      <c r="A353" s="30" t="s">
        <v>129</v>
      </c>
      <c r="B353" s="29" t="s">
        <v>696</v>
      </c>
      <c r="C353" s="30" t="s">
        <v>131</v>
      </c>
      <c r="D353" s="30" t="s">
        <v>697</v>
      </c>
      <c r="E353" s="33" t="n">
        <v>0</v>
      </c>
      <c r="F353" s="33" t="n">
        <v>179410</v>
      </c>
      <c r="G353" s="33" t="n">
        <v>59197425</v>
      </c>
      <c r="H353" s="34" t="s">
        <v>132</v>
      </c>
    </row>
    <row r="354" customFormat="false" ht="17.15" hidden="false" customHeight="false" outlineLevel="0" collapsed="false">
      <c r="A354" s="30" t="s">
        <v>129</v>
      </c>
      <c r="B354" s="29" t="s">
        <v>698</v>
      </c>
      <c r="C354" s="30" t="s">
        <v>131</v>
      </c>
      <c r="D354" s="30" t="s">
        <v>697</v>
      </c>
      <c r="E354" s="33" t="n">
        <v>0</v>
      </c>
      <c r="F354" s="33" t="n">
        <v>209000</v>
      </c>
      <c r="G354" s="33" t="n">
        <v>59018015</v>
      </c>
      <c r="H354" s="34" t="s">
        <v>132</v>
      </c>
    </row>
    <row r="355" customFormat="false" ht="15" hidden="false" customHeight="false" outlineLevel="0" collapsed="false">
      <c r="A355" s="21" t="s">
        <v>129</v>
      </c>
      <c r="B355" s="15" t="s">
        <v>699</v>
      </c>
      <c r="C355" s="21" t="s">
        <v>182</v>
      </c>
      <c r="D355" s="21" t="s">
        <v>183</v>
      </c>
      <c r="E355" s="35" t="n">
        <v>647240</v>
      </c>
      <c r="F355" s="35" t="n">
        <v>0</v>
      </c>
      <c r="G355" s="35" t="n">
        <v>58809015</v>
      </c>
      <c r="H355" s="36" t="s">
        <v>184</v>
      </c>
    </row>
    <row r="356" customFormat="false" ht="17.15" hidden="false" customHeight="false" outlineLevel="0" collapsed="false">
      <c r="A356" s="21" t="s">
        <v>129</v>
      </c>
      <c r="B356" s="15" t="s">
        <v>700</v>
      </c>
      <c r="C356" s="15" t="s">
        <v>170</v>
      </c>
      <c r="D356" s="15" t="s">
        <v>701</v>
      </c>
      <c r="E356" s="35" t="n">
        <v>173900</v>
      </c>
      <c r="F356" s="35" t="n">
        <v>0</v>
      </c>
      <c r="G356" s="35" t="n">
        <v>59456255</v>
      </c>
      <c r="H356" s="36" t="s">
        <v>187</v>
      </c>
    </row>
    <row r="357" customFormat="false" ht="17.15" hidden="false" customHeight="false" outlineLevel="0" collapsed="false">
      <c r="A357" s="21" t="s">
        <v>129</v>
      </c>
      <c r="B357" s="15" t="s">
        <v>700</v>
      </c>
      <c r="C357" s="15" t="s">
        <v>170</v>
      </c>
      <c r="D357" s="15" t="s">
        <v>702</v>
      </c>
      <c r="E357" s="35" t="n">
        <v>173900</v>
      </c>
      <c r="F357" s="35" t="n">
        <v>0</v>
      </c>
      <c r="G357" s="35" t="n">
        <v>59630155</v>
      </c>
      <c r="H357" s="36" t="s">
        <v>187</v>
      </c>
    </row>
    <row r="358" customFormat="false" ht="17.15" hidden="false" customHeight="false" outlineLevel="0" collapsed="false">
      <c r="A358" s="21" t="s">
        <v>129</v>
      </c>
      <c r="B358" s="15" t="s">
        <v>700</v>
      </c>
      <c r="C358" s="15" t="s">
        <v>170</v>
      </c>
      <c r="D358" s="15" t="s">
        <v>703</v>
      </c>
      <c r="E358" s="35" t="n">
        <v>173900</v>
      </c>
      <c r="F358" s="35" t="n">
        <v>0</v>
      </c>
      <c r="G358" s="35" t="n">
        <v>59804055</v>
      </c>
      <c r="H358" s="36" t="s">
        <v>187</v>
      </c>
    </row>
    <row r="359" customFormat="false" ht="17.15" hidden="false" customHeight="false" outlineLevel="0" collapsed="false">
      <c r="A359" s="21" t="s">
        <v>129</v>
      </c>
      <c r="B359" s="15" t="s">
        <v>704</v>
      </c>
      <c r="C359" s="15" t="s">
        <v>170</v>
      </c>
      <c r="D359" s="15" t="s">
        <v>705</v>
      </c>
      <c r="E359" s="35" t="n">
        <v>173900</v>
      </c>
      <c r="F359" s="35" t="n">
        <v>0</v>
      </c>
      <c r="G359" s="35" t="n">
        <v>59977955</v>
      </c>
      <c r="H359" s="36" t="s">
        <v>187</v>
      </c>
    </row>
    <row r="360" customFormat="false" ht="17.15" hidden="false" customHeight="false" outlineLevel="0" collapsed="false">
      <c r="A360" s="21" t="s">
        <v>129</v>
      </c>
      <c r="B360" s="15" t="s">
        <v>704</v>
      </c>
      <c r="C360" s="15" t="s">
        <v>170</v>
      </c>
      <c r="D360" s="15" t="s">
        <v>706</v>
      </c>
      <c r="E360" s="35" t="n">
        <v>175000</v>
      </c>
      <c r="F360" s="35" t="n">
        <v>0</v>
      </c>
      <c r="G360" s="35" t="n">
        <v>60151855</v>
      </c>
      <c r="H360" s="36" t="s">
        <v>187</v>
      </c>
    </row>
    <row r="361" customFormat="false" ht="17.15" hidden="false" customHeight="false" outlineLevel="0" collapsed="false">
      <c r="A361" s="30" t="s">
        <v>129</v>
      </c>
      <c r="B361" s="29" t="s">
        <v>707</v>
      </c>
      <c r="C361" s="30" t="s">
        <v>131</v>
      </c>
      <c r="D361" s="29" t="s">
        <v>54</v>
      </c>
      <c r="E361" s="33" t="n">
        <v>0</v>
      </c>
      <c r="F361" s="33" t="n">
        <v>45583076</v>
      </c>
      <c r="G361" s="33" t="n">
        <v>60326855</v>
      </c>
      <c r="H361" s="34" t="s">
        <v>132</v>
      </c>
    </row>
    <row r="362" customFormat="false" ht="17.15" hidden="false" customHeight="false" outlineLevel="0" collapsed="false">
      <c r="A362" s="21" t="s">
        <v>129</v>
      </c>
      <c r="B362" s="15" t="s">
        <v>708</v>
      </c>
      <c r="C362" s="21" t="s">
        <v>206</v>
      </c>
      <c r="D362" s="21" t="s">
        <v>207</v>
      </c>
      <c r="E362" s="35" t="n">
        <v>731440</v>
      </c>
      <c r="F362" s="35" t="n">
        <v>0</v>
      </c>
      <c r="G362" s="35" t="n">
        <v>14743779</v>
      </c>
      <c r="H362" s="36" t="s">
        <v>208</v>
      </c>
    </row>
    <row r="363" customFormat="false" ht="17.15" hidden="false" customHeight="false" outlineLevel="0" collapsed="false">
      <c r="A363" s="21" t="s">
        <v>129</v>
      </c>
      <c r="B363" s="15" t="s">
        <v>709</v>
      </c>
      <c r="C363" s="15" t="s">
        <v>170</v>
      </c>
      <c r="D363" s="21" t="s">
        <v>710</v>
      </c>
      <c r="E363" s="35" t="n">
        <v>29700</v>
      </c>
      <c r="F363" s="35" t="n">
        <v>0</v>
      </c>
      <c r="G363" s="35" t="n">
        <v>15475219</v>
      </c>
      <c r="H363" s="36" t="s">
        <v>212</v>
      </c>
    </row>
    <row r="364" customFormat="false" ht="17.15" hidden="false" customHeight="false" outlineLevel="0" collapsed="false">
      <c r="A364" s="21" t="s">
        <v>129</v>
      </c>
      <c r="B364" s="15" t="s">
        <v>709</v>
      </c>
      <c r="C364" s="15" t="s">
        <v>170</v>
      </c>
      <c r="D364" s="21" t="s">
        <v>711</v>
      </c>
      <c r="E364" s="35" t="n">
        <v>42764</v>
      </c>
      <c r="F364" s="35" t="n">
        <v>0</v>
      </c>
      <c r="G364" s="35" t="n">
        <v>15504919</v>
      </c>
      <c r="H364" s="36" t="s">
        <v>212</v>
      </c>
    </row>
    <row r="365" customFormat="false" ht="17.15" hidden="false" customHeight="false" outlineLevel="0" collapsed="false">
      <c r="A365" s="30" t="s">
        <v>129</v>
      </c>
      <c r="B365" s="29" t="s">
        <v>712</v>
      </c>
      <c r="C365" s="30" t="s">
        <v>131</v>
      </c>
      <c r="D365" s="30" t="s">
        <v>57</v>
      </c>
      <c r="E365" s="33" t="n">
        <v>0</v>
      </c>
      <c r="F365" s="33" t="n">
        <v>5844971</v>
      </c>
      <c r="G365" s="33" t="n">
        <v>15547683</v>
      </c>
      <c r="H365" s="34" t="s">
        <v>132</v>
      </c>
    </row>
    <row r="366" customFormat="false" ht="17.15" hidden="false" customHeight="false" outlineLevel="0" collapsed="false">
      <c r="A366" s="30" t="s">
        <v>129</v>
      </c>
      <c r="B366" s="29" t="s">
        <v>713</v>
      </c>
      <c r="C366" s="30" t="s">
        <v>226</v>
      </c>
      <c r="D366" s="30" t="s">
        <v>617</v>
      </c>
      <c r="E366" s="33" t="n">
        <v>30000000</v>
      </c>
      <c r="F366" s="33" t="n">
        <v>0</v>
      </c>
      <c r="G366" s="33" t="n">
        <v>9702712</v>
      </c>
      <c r="H366" s="34" t="s">
        <v>454</v>
      </c>
    </row>
    <row r="367" customFormat="false" ht="17.15" hidden="false" customHeight="false" outlineLevel="0" collapsed="false">
      <c r="A367" s="30" t="s">
        <v>129</v>
      </c>
      <c r="B367" s="29" t="s">
        <v>714</v>
      </c>
      <c r="C367" s="30" t="s">
        <v>131</v>
      </c>
      <c r="D367" s="30" t="s">
        <v>465</v>
      </c>
      <c r="E367" s="33" t="n">
        <v>0</v>
      </c>
      <c r="F367" s="33" t="n">
        <v>1069035</v>
      </c>
      <c r="G367" s="33" t="n">
        <v>39702712</v>
      </c>
      <c r="H367" s="34" t="s">
        <v>132</v>
      </c>
    </row>
    <row r="368" customFormat="false" ht="17.15" hidden="false" customHeight="false" outlineLevel="0" collapsed="false">
      <c r="A368" s="30" t="s">
        <v>129</v>
      </c>
      <c r="B368" s="29" t="s">
        <v>715</v>
      </c>
      <c r="C368" s="30" t="s">
        <v>131</v>
      </c>
      <c r="D368" s="30" t="s">
        <v>60</v>
      </c>
      <c r="E368" s="33" t="n">
        <v>0</v>
      </c>
      <c r="F368" s="33" t="n">
        <v>857010</v>
      </c>
      <c r="G368" s="33" t="n">
        <v>38633677</v>
      </c>
      <c r="H368" s="34" t="s">
        <v>132</v>
      </c>
    </row>
    <row r="369" customFormat="false" ht="17.15" hidden="false" customHeight="false" outlineLevel="0" collapsed="false">
      <c r="A369" s="21" t="s">
        <v>129</v>
      </c>
      <c r="B369" s="15" t="s">
        <v>716</v>
      </c>
      <c r="C369" s="21" t="s">
        <v>250</v>
      </c>
      <c r="D369" s="21" t="s">
        <v>251</v>
      </c>
      <c r="E369" s="35" t="n">
        <v>28780</v>
      </c>
      <c r="F369" s="35" t="n">
        <v>0</v>
      </c>
      <c r="G369" s="35" t="n">
        <v>37776667</v>
      </c>
      <c r="H369" s="36" t="s">
        <v>252</v>
      </c>
    </row>
    <row r="370" customFormat="false" ht="17.15" hidden="false" customHeight="false" outlineLevel="0" collapsed="false">
      <c r="A370" s="21" t="s">
        <v>129</v>
      </c>
      <c r="B370" s="15" t="s">
        <v>717</v>
      </c>
      <c r="C370" s="21" t="s">
        <v>250</v>
      </c>
      <c r="D370" s="21" t="s">
        <v>251</v>
      </c>
      <c r="E370" s="35" t="n">
        <v>30300</v>
      </c>
      <c r="F370" s="35" t="n">
        <v>0</v>
      </c>
      <c r="G370" s="35" t="n">
        <v>37805447</v>
      </c>
      <c r="H370" s="36" t="s">
        <v>252</v>
      </c>
    </row>
    <row r="371" customFormat="false" ht="17.15" hidden="false" customHeight="false" outlineLevel="0" collapsed="false">
      <c r="A371" s="30" t="s">
        <v>129</v>
      </c>
      <c r="B371" s="29" t="s">
        <v>718</v>
      </c>
      <c r="C371" s="30" t="s">
        <v>206</v>
      </c>
      <c r="D371" s="30" t="s">
        <v>507</v>
      </c>
      <c r="E371" s="33" t="n">
        <v>0</v>
      </c>
      <c r="F371" s="33" t="n">
        <v>31036360</v>
      </c>
      <c r="G371" s="33" t="n">
        <v>37835747</v>
      </c>
      <c r="H371" s="34" t="s">
        <v>451</v>
      </c>
    </row>
    <row r="372" customFormat="false" ht="17.15" hidden="false" customHeight="false" outlineLevel="0" collapsed="false">
      <c r="A372" s="21" t="s">
        <v>129</v>
      </c>
      <c r="B372" s="15" t="s">
        <v>719</v>
      </c>
      <c r="C372" s="21" t="s">
        <v>254</v>
      </c>
      <c r="D372" s="21" t="s">
        <v>720</v>
      </c>
      <c r="E372" s="35" t="n">
        <v>47200</v>
      </c>
      <c r="F372" s="35" t="n">
        <v>0</v>
      </c>
      <c r="G372" s="35" t="n">
        <v>6799387</v>
      </c>
      <c r="H372" s="37" t="s">
        <v>176</v>
      </c>
    </row>
    <row r="373" customFormat="false" ht="17.15" hidden="false" customHeight="false" outlineLevel="0" collapsed="false">
      <c r="A373" s="30" t="s">
        <v>129</v>
      </c>
      <c r="B373" s="29" t="s">
        <v>721</v>
      </c>
      <c r="C373" s="30" t="s">
        <v>226</v>
      </c>
      <c r="D373" s="30" t="s">
        <v>617</v>
      </c>
      <c r="E373" s="33" t="n">
        <v>35000000</v>
      </c>
      <c r="F373" s="33" t="n">
        <v>0</v>
      </c>
      <c r="G373" s="33" t="n">
        <v>6846587</v>
      </c>
      <c r="H373" s="34" t="s">
        <v>454</v>
      </c>
    </row>
    <row r="374" customFormat="false" ht="17.15" hidden="false" customHeight="false" outlineLevel="0" collapsed="false">
      <c r="A374" s="30" t="s">
        <v>129</v>
      </c>
      <c r="B374" s="29" t="s">
        <v>722</v>
      </c>
      <c r="C374" s="30" t="s">
        <v>131</v>
      </c>
      <c r="D374" s="29" t="s">
        <v>278</v>
      </c>
      <c r="E374" s="33" t="n">
        <v>0</v>
      </c>
      <c r="F374" s="33" t="n">
        <v>249425</v>
      </c>
      <c r="G374" s="33" t="n">
        <v>41846587</v>
      </c>
      <c r="H374" s="34" t="s">
        <v>132</v>
      </c>
    </row>
    <row r="375" customFormat="false" ht="17.15" hidden="false" customHeight="false" outlineLevel="0" collapsed="false">
      <c r="A375" s="21" t="s">
        <v>129</v>
      </c>
      <c r="B375" s="15" t="s">
        <v>723</v>
      </c>
      <c r="C375" s="15" t="s">
        <v>170</v>
      </c>
      <c r="D375" s="21" t="s">
        <v>724</v>
      </c>
      <c r="E375" s="35" t="n">
        <v>20000</v>
      </c>
      <c r="F375" s="35" t="n">
        <v>0</v>
      </c>
      <c r="G375" s="35" t="n">
        <v>41597162</v>
      </c>
      <c r="H375" s="36" t="s">
        <v>212</v>
      </c>
    </row>
    <row r="376" customFormat="false" ht="17.15" hidden="false" customHeight="false" outlineLevel="0" collapsed="false">
      <c r="A376" s="30" t="s">
        <v>129</v>
      </c>
      <c r="B376" s="29" t="s">
        <v>725</v>
      </c>
      <c r="C376" s="30" t="s">
        <v>131</v>
      </c>
      <c r="D376" s="30" t="s">
        <v>633</v>
      </c>
      <c r="E376" s="33" t="n">
        <v>0</v>
      </c>
      <c r="F376" s="33" t="n">
        <v>328240</v>
      </c>
      <c r="G376" s="33" t="n">
        <v>41617162</v>
      </c>
      <c r="H376" s="34" t="s">
        <v>132</v>
      </c>
    </row>
    <row r="377" customFormat="false" ht="17.15" hidden="false" customHeight="false" outlineLevel="0" collapsed="false">
      <c r="A377" s="30" t="s">
        <v>129</v>
      </c>
      <c r="B377" s="29" t="s">
        <v>726</v>
      </c>
      <c r="C377" s="30" t="s">
        <v>131</v>
      </c>
      <c r="D377" s="29" t="s">
        <v>55</v>
      </c>
      <c r="E377" s="33" t="n">
        <v>0</v>
      </c>
      <c r="F377" s="33" t="n">
        <v>5691004</v>
      </c>
      <c r="G377" s="33" t="n">
        <v>41288922</v>
      </c>
      <c r="H377" s="34" t="s">
        <v>132</v>
      </c>
    </row>
    <row r="378" customFormat="false" ht="17.15" hidden="false" customHeight="false" outlineLevel="0" collapsed="false">
      <c r="A378" s="30" t="s">
        <v>129</v>
      </c>
      <c r="B378" s="29" t="s">
        <v>727</v>
      </c>
      <c r="C378" s="30" t="s">
        <v>131</v>
      </c>
      <c r="D378" s="30" t="s">
        <v>311</v>
      </c>
      <c r="E378" s="33" t="n">
        <v>0</v>
      </c>
      <c r="F378" s="33" t="n">
        <v>1565575</v>
      </c>
      <c r="G378" s="33" t="n">
        <v>35597918</v>
      </c>
      <c r="H378" s="34" t="s">
        <v>132</v>
      </c>
    </row>
    <row r="379" customFormat="false" ht="17.15" hidden="false" customHeight="false" outlineLevel="0" collapsed="false">
      <c r="A379" s="30" t="s">
        <v>129</v>
      </c>
      <c r="B379" s="29" t="s">
        <v>728</v>
      </c>
      <c r="C379" s="30" t="s">
        <v>131</v>
      </c>
      <c r="D379" s="30" t="s">
        <v>56</v>
      </c>
      <c r="E379" s="33" t="n">
        <v>0</v>
      </c>
      <c r="F379" s="33" t="n">
        <v>5896275</v>
      </c>
      <c r="G379" s="33" t="n">
        <v>34032343</v>
      </c>
      <c r="H379" s="34" t="s">
        <v>132</v>
      </c>
    </row>
    <row r="380" customFormat="false" ht="17.15" hidden="false" customHeight="false" outlineLevel="0" collapsed="false">
      <c r="A380" s="30" t="s">
        <v>129</v>
      </c>
      <c r="B380" s="29" t="s">
        <v>729</v>
      </c>
      <c r="C380" s="30" t="s">
        <v>131</v>
      </c>
      <c r="D380" s="30" t="s">
        <v>57</v>
      </c>
      <c r="E380" s="33" t="n">
        <v>0</v>
      </c>
      <c r="F380" s="33" t="n">
        <v>6183210</v>
      </c>
      <c r="G380" s="33" t="n">
        <v>28136068</v>
      </c>
      <c r="H380" s="34" t="s">
        <v>132</v>
      </c>
    </row>
    <row r="381" customFormat="false" ht="17.15" hidden="false" customHeight="false" outlineLevel="0" collapsed="false">
      <c r="A381" s="30" t="s">
        <v>129</v>
      </c>
      <c r="B381" s="29" t="s">
        <v>730</v>
      </c>
      <c r="C381" s="30" t="s">
        <v>131</v>
      </c>
      <c r="D381" s="29" t="s">
        <v>58</v>
      </c>
      <c r="E381" s="33" t="n">
        <v>0</v>
      </c>
      <c r="F381" s="33" t="n">
        <v>1795772</v>
      </c>
      <c r="G381" s="33" t="n">
        <v>21952858</v>
      </c>
      <c r="H381" s="34" t="s">
        <v>132</v>
      </c>
    </row>
    <row r="382" customFormat="false" ht="15" hidden="false" customHeight="false" outlineLevel="0" collapsed="false">
      <c r="A382" s="21" t="s">
        <v>129</v>
      </c>
      <c r="B382" s="15" t="s">
        <v>731</v>
      </c>
      <c r="C382" s="21" t="s">
        <v>163</v>
      </c>
      <c r="D382" s="15" t="s">
        <v>732</v>
      </c>
      <c r="E382" s="35" t="n">
        <v>81940</v>
      </c>
      <c r="F382" s="35" t="n">
        <v>0</v>
      </c>
      <c r="G382" s="35" t="n">
        <v>20157086</v>
      </c>
      <c r="H382" s="36" t="s">
        <v>165</v>
      </c>
    </row>
    <row r="383" customFormat="false" ht="17.15" hidden="false" customHeight="false" outlineLevel="0" collapsed="false">
      <c r="A383" s="21" t="s">
        <v>129</v>
      </c>
      <c r="B383" s="15" t="s">
        <v>733</v>
      </c>
      <c r="C383" s="15" t="s">
        <v>170</v>
      </c>
      <c r="D383" s="21" t="s">
        <v>734</v>
      </c>
      <c r="E383" s="35" t="n">
        <v>250000</v>
      </c>
      <c r="F383" s="35" t="n">
        <v>0</v>
      </c>
      <c r="G383" s="35" t="n">
        <v>20239026</v>
      </c>
      <c r="H383" s="36" t="s">
        <v>172</v>
      </c>
    </row>
    <row r="384" customFormat="false" ht="17.15" hidden="false" customHeight="false" outlineLevel="0" collapsed="false">
      <c r="A384" s="21" t="s">
        <v>129</v>
      </c>
      <c r="B384" s="15" t="s">
        <v>735</v>
      </c>
      <c r="C384" s="15" t="s">
        <v>174</v>
      </c>
      <c r="D384" s="15" t="s">
        <v>175</v>
      </c>
      <c r="E384" s="35" t="n">
        <v>121000</v>
      </c>
      <c r="F384" s="35" t="n">
        <v>0</v>
      </c>
      <c r="G384" s="35" t="n">
        <v>20489026</v>
      </c>
      <c r="H384" s="37" t="s">
        <v>176</v>
      </c>
    </row>
    <row r="385" customFormat="false" ht="15" hidden="false" customHeight="false" outlineLevel="0" collapsed="false">
      <c r="A385" s="21" t="s">
        <v>129</v>
      </c>
      <c r="B385" s="15" t="s">
        <v>736</v>
      </c>
      <c r="C385" s="21" t="s">
        <v>163</v>
      </c>
      <c r="D385" s="15" t="s">
        <v>737</v>
      </c>
      <c r="E385" s="35" t="n">
        <v>78030</v>
      </c>
      <c r="F385" s="35" t="n">
        <v>0</v>
      </c>
      <c r="G385" s="35" t="n">
        <v>20610026</v>
      </c>
      <c r="H385" s="36" t="s">
        <v>165</v>
      </c>
    </row>
    <row r="386" customFormat="false" ht="15" hidden="false" customHeight="false" outlineLevel="0" collapsed="false">
      <c r="A386" s="21" t="s">
        <v>129</v>
      </c>
      <c r="B386" s="15" t="s">
        <v>738</v>
      </c>
      <c r="C386" s="21" t="s">
        <v>163</v>
      </c>
      <c r="D386" s="15" t="s">
        <v>739</v>
      </c>
      <c r="E386" s="35" t="n">
        <v>5660</v>
      </c>
      <c r="F386" s="35" t="n">
        <v>0</v>
      </c>
      <c r="G386" s="35" t="n">
        <v>20688056</v>
      </c>
      <c r="H386" s="36" t="s">
        <v>165</v>
      </c>
    </row>
    <row r="387" customFormat="false" ht="15" hidden="false" customHeight="false" outlineLevel="0" collapsed="false">
      <c r="A387" s="21" t="s">
        <v>129</v>
      </c>
      <c r="B387" s="15" t="s">
        <v>740</v>
      </c>
      <c r="C387" s="21" t="s">
        <v>182</v>
      </c>
      <c r="D387" s="21" t="s">
        <v>183</v>
      </c>
      <c r="E387" s="35" t="n">
        <v>331940</v>
      </c>
      <c r="F387" s="35" t="n">
        <v>0</v>
      </c>
      <c r="G387" s="35" t="n">
        <v>20693716</v>
      </c>
      <c r="H387" s="36" t="s">
        <v>184</v>
      </c>
    </row>
    <row r="388" customFormat="false" ht="17.15" hidden="false" customHeight="false" outlineLevel="0" collapsed="false">
      <c r="A388" s="21" t="s">
        <v>129</v>
      </c>
      <c r="B388" s="15" t="s">
        <v>741</v>
      </c>
      <c r="C388" s="15" t="s">
        <v>170</v>
      </c>
      <c r="D388" s="15" t="s">
        <v>742</v>
      </c>
      <c r="E388" s="35" t="n">
        <v>173900</v>
      </c>
      <c r="F388" s="35" t="n">
        <v>0</v>
      </c>
      <c r="G388" s="35" t="n">
        <v>21025656</v>
      </c>
      <c r="H388" s="36" t="s">
        <v>187</v>
      </c>
    </row>
    <row r="389" customFormat="false" ht="17.15" hidden="false" customHeight="false" outlineLevel="0" collapsed="false">
      <c r="A389" s="21" t="s">
        <v>129</v>
      </c>
      <c r="B389" s="15" t="s">
        <v>741</v>
      </c>
      <c r="C389" s="15" t="s">
        <v>170</v>
      </c>
      <c r="D389" s="15" t="s">
        <v>743</v>
      </c>
      <c r="E389" s="35" t="n">
        <v>173900</v>
      </c>
      <c r="F389" s="35" t="n">
        <v>0</v>
      </c>
      <c r="G389" s="35" t="n">
        <v>21199556</v>
      </c>
      <c r="H389" s="36" t="s">
        <v>187</v>
      </c>
    </row>
    <row r="390" customFormat="false" ht="17.15" hidden="false" customHeight="false" outlineLevel="0" collapsed="false">
      <c r="A390" s="21" t="s">
        <v>129</v>
      </c>
      <c r="B390" s="15" t="s">
        <v>744</v>
      </c>
      <c r="C390" s="15" t="s">
        <v>170</v>
      </c>
      <c r="D390" s="15" t="s">
        <v>745</v>
      </c>
      <c r="E390" s="35" t="n">
        <v>173900</v>
      </c>
      <c r="F390" s="35" t="n">
        <v>0</v>
      </c>
      <c r="G390" s="35" t="n">
        <v>21373456</v>
      </c>
      <c r="H390" s="36" t="s">
        <v>187</v>
      </c>
    </row>
    <row r="391" customFormat="false" ht="17.15" hidden="false" customHeight="false" outlineLevel="0" collapsed="false">
      <c r="A391" s="21" t="s">
        <v>129</v>
      </c>
      <c r="B391" s="15" t="s">
        <v>744</v>
      </c>
      <c r="C391" s="15" t="s">
        <v>170</v>
      </c>
      <c r="D391" s="15" t="s">
        <v>746</v>
      </c>
      <c r="E391" s="35" t="n">
        <v>173900</v>
      </c>
      <c r="F391" s="35" t="n">
        <v>0</v>
      </c>
      <c r="G391" s="35" t="n">
        <v>21547356</v>
      </c>
      <c r="H391" s="36" t="s">
        <v>187</v>
      </c>
    </row>
    <row r="392" customFormat="false" ht="17.15" hidden="false" customHeight="false" outlineLevel="0" collapsed="false">
      <c r="A392" s="21" t="s">
        <v>129</v>
      </c>
      <c r="B392" s="15" t="s">
        <v>744</v>
      </c>
      <c r="C392" s="15" t="s">
        <v>170</v>
      </c>
      <c r="D392" s="15" t="s">
        <v>747</v>
      </c>
      <c r="E392" s="35" t="n">
        <v>175000</v>
      </c>
      <c r="F392" s="35" t="n">
        <v>0</v>
      </c>
      <c r="G392" s="35" t="n">
        <v>21721256</v>
      </c>
      <c r="H392" s="36" t="s">
        <v>187</v>
      </c>
    </row>
    <row r="393" customFormat="false" ht="17.15" hidden="false" customHeight="false" outlineLevel="0" collapsed="false">
      <c r="A393" s="30" t="s">
        <v>129</v>
      </c>
      <c r="B393" s="29" t="s">
        <v>748</v>
      </c>
      <c r="C393" s="30" t="s">
        <v>226</v>
      </c>
      <c r="D393" s="30" t="s">
        <v>617</v>
      </c>
      <c r="E393" s="33" t="n">
        <v>20000000</v>
      </c>
      <c r="F393" s="33" t="n">
        <v>0</v>
      </c>
      <c r="G393" s="33" t="n">
        <v>21896256</v>
      </c>
      <c r="H393" s="34" t="s">
        <v>454</v>
      </c>
    </row>
    <row r="394" customFormat="false" ht="17.15" hidden="false" customHeight="false" outlineLevel="0" collapsed="false">
      <c r="A394" s="30" t="s">
        <v>129</v>
      </c>
      <c r="B394" s="29" t="s">
        <v>749</v>
      </c>
      <c r="C394" s="30" t="s">
        <v>131</v>
      </c>
      <c r="D394" s="29" t="s">
        <v>54</v>
      </c>
      <c r="E394" s="33" t="n">
        <v>0</v>
      </c>
      <c r="F394" s="33" t="n">
        <v>37016155</v>
      </c>
      <c r="G394" s="33" t="n">
        <v>41896256</v>
      </c>
      <c r="H394" s="34" t="s">
        <v>132</v>
      </c>
    </row>
    <row r="395" customFormat="false" ht="17.15" hidden="false" customHeight="false" outlineLevel="0" collapsed="false">
      <c r="A395" s="21" t="s">
        <v>129</v>
      </c>
      <c r="B395" s="15" t="s">
        <v>750</v>
      </c>
      <c r="C395" s="21" t="s">
        <v>206</v>
      </c>
      <c r="D395" s="21" t="s">
        <v>207</v>
      </c>
      <c r="E395" s="35" t="n">
        <v>731440</v>
      </c>
      <c r="F395" s="35" t="n">
        <v>0</v>
      </c>
      <c r="G395" s="35" t="n">
        <v>4880101</v>
      </c>
      <c r="H395" s="36" t="s">
        <v>208</v>
      </c>
    </row>
    <row r="396" customFormat="false" ht="17.15" hidden="false" customHeight="false" outlineLevel="0" collapsed="false">
      <c r="A396" s="21" t="s">
        <v>129</v>
      </c>
      <c r="B396" s="15" t="s">
        <v>751</v>
      </c>
      <c r="C396" s="15" t="s">
        <v>170</v>
      </c>
      <c r="D396" s="21" t="s">
        <v>752</v>
      </c>
      <c r="E396" s="35" t="n">
        <v>29700</v>
      </c>
      <c r="F396" s="35" t="n">
        <v>0</v>
      </c>
      <c r="G396" s="35" t="n">
        <v>5611541</v>
      </c>
      <c r="H396" s="36" t="s">
        <v>212</v>
      </c>
    </row>
    <row r="397" customFormat="false" ht="17.15" hidden="false" customHeight="false" outlineLevel="0" collapsed="false">
      <c r="A397" s="21" t="s">
        <v>129</v>
      </c>
      <c r="B397" s="15" t="s">
        <v>751</v>
      </c>
      <c r="C397" s="15" t="s">
        <v>170</v>
      </c>
      <c r="D397" s="21" t="s">
        <v>753</v>
      </c>
      <c r="E397" s="35" t="n">
        <v>42764</v>
      </c>
      <c r="F397" s="35" t="n">
        <v>0</v>
      </c>
      <c r="G397" s="35" t="n">
        <v>5641241</v>
      </c>
      <c r="H397" s="36" t="s">
        <v>212</v>
      </c>
    </row>
    <row r="398" customFormat="false" ht="17.15" hidden="false" customHeight="false" outlineLevel="0" collapsed="false">
      <c r="A398" s="30" t="s">
        <v>129</v>
      </c>
      <c r="B398" s="29" t="s">
        <v>754</v>
      </c>
      <c r="C398" s="30" t="s">
        <v>131</v>
      </c>
      <c r="D398" s="30" t="s">
        <v>465</v>
      </c>
      <c r="E398" s="33" t="n">
        <v>0</v>
      </c>
      <c r="F398" s="33" t="n">
        <v>710160</v>
      </c>
      <c r="G398" s="33" t="n">
        <v>5684005</v>
      </c>
      <c r="H398" s="34" t="s">
        <v>132</v>
      </c>
    </row>
    <row r="399" customFormat="false" ht="17.15" hidden="false" customHeight="false" outlineLevel="0" collapsed="false">
      <c r="A399" s="30" t="s">
        <v>129</v>
      </c>
      <c r="B399" s="29" t="s">
        <v>755</v>
      </c>
      <c r="C399" s="30" t="s">
        <v>131</v>
      </c>
      <c r="D399" s="30" t="s">
        <v>697</v>
      </c>
      <c r="E399" s="33" t="n">
        <v>0</v>
      </c>
      <c r="F399" s="33" t="n">
        <v>238480</v>
      </c>
      <c r="G399" s="33" t="n">
        <v>4973845</v>
      </c>
      <c r="H399" s="34" t="s">
        <v>132</v>
      </c>
    </row>
    <row r="400" customFormat="false" ht="17.15" hidden="false" customHeight="false" outlineLevel="0" collapsed="false">
      <c r="A400" s="21" t="s">
        <v>129</v>
      </c>
      <c r="B400" s="15" t="s">
        <v>756</v>
      </c>
      <c r="C400" s="21" t="s">
        <v>250</v>
      </c>
      <c r="D400" s="21" t="s">
        <v>251</v>
      </c>
      <c r="E400" s="35" t="n">
        <v>28780</v>
      </c>
      <c r="F400" s="35" t="n">
        <v>0</v>
      </c>
      <c r="G400" s="35" t="n">
        <v>4735365</v>
      </c>
      <c r="H400" s="36" t="s">
        <v>252</v>
      </c>
    </row>
    <row r="401" customFormat="false" ht="17.15" hidden="false" customHeight="false" outlineLevel="0" collapsed="false">
      <c r="A401" s="21" t="s">
        <v>129</v>
      </c>
      <c r="B401" s="15" t="s">
        <v>757</v>
      </c>
      <c r="C401" s="21" t="s">
        <v>250</v>
      </c>
      <c r="D401" s="21" t="s">
        <v>251</v>
      </c>
      <c r="E401" s="35" t="n">
        <v>30300</v>
      </c>
      <c r="F401" s="35" t="n">
        <v>0</v>
      </c>
      <c r="G401" s="35" t="n">
        <v>4764145</v>
      </c>
      <c r="H401" s="36" t="s">
        <v>252</v>
      </c>
    </row>
    <row r="402" customFormat="false" ht="17.15" hidden="false" customHeight="false" outlineLevel="0" collapsed="false">
      <c r="A402" s="21" t="s">
        <v>129</v>
      </c>
      <c r="B402" s="15" t="s">
        <v>758</v>
      </c>
      <c r="C402" s="21" t="s">
        <v>254</v>
      </c>
      <c r="D402" s="21" t="s">
        <v>759</v>
      </c>
      <c r="E402" s="35" t="n">
        <v>47200</v>
      </c>
      <c r="F402" s="35" t="n">
        <v>0</v>
      </c>
      <c r="G402" s="35" t="n">
        <v>4794445</v>
      </c>
      <c r="H402" s="37" t="s">
        <v>176</v>
      </c>
    </row>
    <row r="403" customFormat="false" ht="17.15" hidden="false" customHeight="false" outlineLevel="0" collapsed="false">
      <c r="A403" s="30" t="s">
        <v>129</v>
      </c>
      <c r="B403" s="29" t="s">
        <v>760</v>
      </c>
      <c r="C403" s="30" t="s">
        <v>131</v>
      </c>
      <c r="D403" s="30" t="s">
        <v>60</v>
      </c>
      <c r="E403" s="33" t="n">
        <v>0</v>
      </c>
      <c r="F403" s="33" t="n">
        <v>1975600</v>
      </c>
      <c r="G403" s="33" t="n">
        <v>4841645</v>
      </c>
      <c r="H403" s="34" t="s">
        <v>132</v>
      </c>
    </row>
    <row r="404" customFormat="false" ht="17.15" hidden="false" customHeight="false" outlineLevel="0" collapsed="false">
      <c r="A404" s="30" t="s">
        <v>129</v>
      </c>
      <c r="B404" s="29" t="s">
        <v>761</v>
      </c>
      <c r="C404" s="30" t="s">
        <v>226</v>
      </c>
      <c r="D404" s="30" t="s">
        <v>617</v>
      </c>
      <c r="E404" s="33" t="n">
        <v>30000000</v>
      </c>
      <c r="F404" s="33" t="n">
        <v>0</v>
      </c>
      <c r="G404" s="33" t="n">
        <v>2866045</v>
      </c>
      <c r="H404" s="34" t="s">
        <v>454</v>
      </c>
    </row>
    <row r="405" customFormat="false" ht="17.15" hidden="false" customHeight="false" outlineLevel="0" collapsed="false">
      <c r="A405" s="30" t="s">
        <v>129</v>
      </c>
      <c r="B405" s="29" t="s">
        <v>762</v>
      </c>
      <c r="C405" s="30" t="s">
        <v>226</v>
      </c>
      <c r="D405" s="30" t="s">
        <v>617</v>
      </c>
      <c r="E405" s="33" t="n">
        <v>10000000</v>
      </c>
      <c r="F405" s="33" t="n">
        <v>0</v>
      </c>
      <c r="G405" s="33" t="n">
        <v>32866045</v>
      </c>
      <c r="H405" s="34" t="s">
        <v>454</v>
      </c>
    </row>
    <row r="406" customFormat="false" ht="17.15" hidden="false" customHeight="false" outlineLevel="0" collapsed="false">
      <c r="A406" s="30" t="s">
        <v>129</v>
      </c>
      <c r="B406" s="29" t="s">
        <v>763</v>
      </c>
      <c r="C406" s="30" t="s">
        <v>131</v>
      </c>
      <c r="D406" s="30" t="s">
        <v>764</v>
      </c>
      <c r="E406" s="33" t="n">
        <v>0</v>
      </c>
      <c r="F406" s="33" t="n">
        <v>1599400</v>
      </c>
      <c r="G406" s="33" t="n">
        <v>42866045</v>
      </c>
      <c r="H406" s="34" t="s">
        <v>132</v>
      </c>
    </row>
    <row r="407" customFormat="false" ht="17.15" hidden="false" customHeight="false" outlineLevel="0" collapsed="false">
      <c r="A407" s="30" t="s">
        <v>129</v>
      </c>
      <c r="B407" s="29" t="s">
        <v>765</v>
      </c>
      <c r="C407" s="30" t="s">
        <v>131</v>
      </c>
      <c r="D407" s="29" t="s">
        <v>278</v>
      </c>
      <c r="E407" s="33" t="n">
        <v>0</v>
      </c>
      <c r="F407" s="33" t="n">
        <v>640200</v>
      </c>
      <c r="G407" s="33" t="n">
        <v>41266645</v>
      </c>
      <c r="H407" s="34" t="s">
        <v>132</v>
      </c>
    </row>
    <row r="408" customFormat="false" ht="17.15" hidden="false" customHeight="false" outlineLevel="0" collapsed="false">
      <c r="A408" s="21" t="s">
        <v>129</v>
      </c>
      <c r="B408" s="15" t="s">
        <v>766</v>
      </c>
      <c r="C408" s="15" t="s">
        <v>170</v>
      </c>
      <c r="D408" s="21" t="s">
        <v>767</v>
      </c>
      <c r="E408" s="35" t="n">
        <v>20000</v>
      </c>
      <c r="F408" s="35" t="n">
        <v>0</v>
      </c>
      <c r="G408" s="35" t="n">
        <v>40626445</v>
      </c>
      <c r="H408" s="36" t="s">
        <v>212</v>
      </c>
    </row>
    <row r="409" customFormat="false" ht="17.15" hidden="false" customHeight="false" outlineLevel="0" collapsed="false">
      <c r="A409" s="30" t="s">
        <v>129</v>
      </c>
      <c r="B409" s="29" t="s">
        <v>768</v>
      </c>
      <c r="C409" s="30" t="s">
        <v>131</v>
      </c>
      <c r="D409" s="30" t="s">
        <v>769</v>
      </c>
      <c r="E409" s="33" t="n">
        <v>0</v>
      </c>
      <c r="F409" s="33" t="n">
        <v>328350</v>
      </c>
      <c r="G409" s="33" t="n">
        <v>40646445</v>
      </c>
      <c r="H409" s="34" t="s">
        <v>132</v>
      </c>
    </row>
    <row r="410" customFormat="false" ht="17.15" hidden="false" customHeight="false" outlineLevel="0" collapsed="false">
      <c r="A410" s="30" t="s">
        <v>129</v>
      </c>
      <c r="B410" s="29" t="s">
        <v>770</v>
      </c>
      <c r="C410" s="30" t="s">
        <v>131</v>
      </c>
      <c r="D410" s="30" t="s">
        <v>311</v>
      </c>
      <c r="E410" s="33" t="n">
        <v>0</v>
      </c>
      <c r="F410" s="33" t="n">
        <v>389494</v>
      </c>
      <c r="G410" s="33" t="n">
        <v>40318095</v>
      </c>
      <c r="H410" s="34" t="s">
        <v>132</v>
      </c>
    </row>
    <row r="411" customFormat="false" ht="17.15" hidden="false" customHeight="false" outlineLevel="0" collapsed="false">
      <c r="A411" s="30" t="s">
        <v>129</v>
      </c>
      <c r="B411" s="29" t="s">
        <v>771</v>
      </c>
      <c r="C411" s="30" t="s">
        <v>131</v>
      </c>
      <c r="D411" s="29" t="s">
        <v>55</v>
      </c>
      <c r="E411" s="33" t="n">
        <v>0</v>
      </c>
      <c r="F411" s="33" t="n">
        <v>6100237</v>
      </c>
      <c r="G411" s="33" t="n">
        <v>39928601</v>
      </c>
      <c r="H411" s="34" t="s">
        <v>132</v>
      </c>
    </row>
    <row r="412" customFormat="false" ht="17.15" hidden="false" customHeight="false" outlineLevel="0" collapsed="false">
      <c r="A412" s="30" t="s">
        <v>129</v>
      </c>
      <c r="B412" s="29" t="s">
        <v>772</v>
      </c>
      <c r="C412" s="30" t="s">
        <v>131</v>
      </c>
      <c r="D412" s="30" t="s">
        <v>311</v>
      </c>
      <c r="E412" s="33" t="n">
        <v>0</v>
      </c>
      <c r="F412" s="33" t="n">
        <v>2400838</v>
      </c>
      <c r="G412" s="33" t="n">
        <v>33828364</v>
      </c>
      <c r="H412" s="34" t="s">
        <v>132</v>
      </c>
    </row>
    <row r="413" customFormat="false" ht="17.15" hidden="false" customHeight="false" outlineLevel="0" collapsed="false">
      <c r="A413" s="30" t="s">
        <v>129</v>
      </c>
      <c r="B413" s="29" t="s">
        <v>773</v>
      </c>
      <c r="C413" s="30" t="s">
        <v>131</v>
      </c>
      <c r="D413" s="30" t="s">
        <v>56</v>
      </c>
      <c r="E413" s="33" t="n">
        <v>0</v>
      </c>
      <c r="F413" s="33" t="n">
        <v>4085730</v>
      </c>
      <c r="G413" s="33" t="n">
        <v>31427526</v>
      </c>
      <c r="H413" s="34" t="s">
        <v>132</v>
      </c>
    </row>
    <row r="414" customFormat="false" ht="15" hidden="false" customHeight="false" outlineLevel="0" collapsed="false">
      <c r="A414" s="21" t="s">
        <v>129</v>
      </c>
      <c r="B414" s="15" t="s">
        <v>774</v>
      </c>
      <c r="C414" s="21" t="s">
        <v>163</v>
      </c>
      <c r="D414" s="15" t="s">
        <v>775</v>
      </c>
      <c r="E414" s="35" t="n">
        <v>89830</v>
      </c>
      <c r="F414" s="35" t="n">
        <v>0</v>
      </c>
      <c r="G414" s="35" t="n">
        <v>27341796</v>
      </c>
      <c r="H414" s="36" t="s">
        <v>165</v>
      </c>
    </row>
    <row r="415" customFormat="false" ht="17.15" hidden="false" customHeight="false" outlineLevel="0" collapsed="false">
      <c r="A415" s="21" t="s">
        <v>129</v>
      </c>
      <c r="B415" s="15" t="s">
        <v>776</v>
      </c>
      <c r="C415" s="15" t="s">
        <v>170</v>
      </c>
      <c r="D415" s="21" t="s">
        <v>777</v>
      </c>
      <c r="E415" s="35" t="n">
        <v>250000</v>
      </c>
      <c r="F415" s="35" t="n">
        <v>0</v>
      </c>
      <c r="G415" s="35" t="n">
        <v>27431626</v>
      </c>
      <c r="H415" s="36" t="s">
        <v>172</v>
      </c>
    </row>
    <row r="416" customFormat="false" ht="17.15" hidden="false" customHeight="false" outlineLevel="0" collapsed="false">
      <c r="A416" s="21" t="s">
        <v>129</v>
      </c>
      <c r="B416" s="15" t="s">
        <v>778</v>
      </c>
      <c r="C416" s="15" t="s">
        <v>174</v>
      </c>
      <c r="D416" s="15" t="s">
        <v>175</v>
      </c>
      <c r="E416" s="35" t="n">
        <v>121000</v>
      </c>
      <c r="F416" s="35" t="n">
        <v>0</v>
      </c>
      <c r="G416" s="35" t="n">
        <v>27681626</v>
      </c>
      <c r="H416" s="37" t="s">
        <v>176</v>
      </c>
    </row>
    <row r="417" customFormat="false" ht="15" hidden="false" customHeight="false" outlineLevel="0" collapsed="false">
      <c r="A417" s="21" t="s">
        <v>129</v>
      </c>
      <c r="B417" s="15" t="s">
        <v>779</v>
      </c>
      <c r="C417" s="21" t="s">
        <v>163</v>
      </c>
      <c r="D417" s="15" t="s">
        <v>780</v>
      </c>
      <c r="E417" s="35" t="n">
        <v>75600</v>
      </c>
      <c r="F417" s="35" t="n">
        <v>0</v>
      </c>
      <c r="G417" s="35" t="n">
        <v>27802626</v>
      </c>
      <c r="H417" s="36" t="s">
        <v>165</v>
      </c>
    </row>
    <row r="418" customFormat="false" ht="15" hidden="false" customHeight="false" outlineLevel="0" collapsed="false">
      <c r="A418" s="21" t="s">
        <v>129</v>
      </c>
      <c r="B418" s="15" t="s">
        <v>781</v>
      </c>
      <c r="C418" s="21" t="s">
        <v>163</v>
      </c>
      <c r="D418" s="15" t="s">
        <v>782</v>
      </c>
      <c r="E418" s="35" t="n">
        <v>5660</v>
      </c>
      <c r="F418" s="35" t="n">
        <v>0</v>
      </c>
      <c r="G418" s="35" t="n">
        <v>27878226</v>
      </c>
      <c r="H418" s="36" t="s">
        <v>165</v>
      </c>
    </row>
    <row r="419" customFormat="false" ht="17.15" hidden="false" customHeight="false" outlineLevel="0" collapsed="false">
      <c r="A419" s="30" t="s">
        <v>129</v>
      </c>
      <c r="B419" s="29" t="s">
        <v>783</v>
      </c>
      <c r="C419" s="30" t="s">
        <v>131</v>
      </c>
      <c r="D419" s="29" t="s">
        <v>58</v>
      </c>
      <c r="E419" s="33" t="n">
        <v>0</v>
      </c>
      <c r="F419" s="33" t="n">
        <v>818103</v>
      </c>
      <c r="G419" s="33" t="n">
        <v>27883886</v>
      </c>
      <c r="H419" s="34" t="s">
        <v>132</v>
      </c>
    </row>
    <row r="420" customFormat="false" ht="15" hidden="false" customHeight="false" outlineLevel="0" collapsed="false">
      <c r="A420" s="21" t="s">
        <v>129</v>
      </c>
      <c r="B420" s="15" t="s">
        <v>784</v>
      </c>
      <c r="C420" s="21" t="s">
        <v>182</v>
      </c>
      <c r="D420" s="21" t="s">
        <v>183</v>
      </c>
      <c r="E420" s="35" t="n">
        <v>322300</v>
      </c>
      <c r="F420" s="35" t="n">
        <v>0</v>
      </c>
      <c r="G420" s="35" t="n">
        <v>27065783</v>
      </c>
      <c r="H420" s="36" t="s">
        <v>184</v>
      </c>
    </row>
    <row r="421" customFormat="false" ht="17.15" hidden="false" customHeight="false" outlineLevel="0" collapsed="false">
      <c r="A421" s="21" t="s">
        <v>129</v>
      </c>
      <c r="B421" s="15" t="s">
        <v>785</v>
      </c>
      <c r="C421" s="15" t="s">
        <v>170</v>
      </c>
      <c r="D421" s="15" t="s">
        <v>786</v>
      </c>
      <c r="E421" s="35" t="n">
        <v>173900</v>
      </c>
      <c r="F421" s="35" t="n">
        <v>0</v>
      </c>
      <c r="G421" s="35" t="n">
        <v>27388083</v>
      </c>
      <c r="H421" s="36" t="s">
        <v>187</v>
      </c>
    </row>
    <row r="422" customFormat="false" ht="17.15" hidden="false" customHeight="false" outlineLevel="0" collapsed="false">
      <c r="A422" s="21" t="s">
        <v>129</v>
      </c>
      <c r="B422" s="15" t="s">
        <v>787</v>
      </c>
      <c r="C422" s="15" t="s">
        <v>170</v>
      </c>
      <c r="D422" s="15" t="s">
        <v>788</v>
      </c>
      <c r="E422" s="35" t="n">
        <v>173900</v>
      </c>
      <c r="F422" s="35" t="n">
        <v>0</v>
      </c>
      <c r="G422" s="35" t="n">
        <v>27561983</v>
      </c>
      <c r="H422" s="36" t="s">
        <v>187</v>
      </c>
    </row>
    <row r="423" customFormat="false" ht="17.15" hidden="false" customHeight="false" outlineLevel="0" collapsed="false">
      <c r="A423" s="21" t="s">
        <v>129</v>
      </c>
      <c r="B423" s="15" t="s">
        <v>787</v>
      </c>
      <c r="C423" s="15" t="s">
        <v>170</v>
      </c>
      <c r="D423" s="15" t="s">
        <v>789</v>
      </c>
      <c r="E423" s="35" t="n">
        <v>173900</v>
      </c>
      <c r="F423" s="35" t="n">
        <v>0</v>
      </c>
      <c r="G423" s="35" t="n">
        <v>27735883</v>
      </c>
      <c r="H423" s="36" t="s">
        <v>187</v>
      </c>
    </row>
    <row r="424" customFormat="false" ht="17.15" hidden="false" customHeight="false" outlineLevel="0" collapsed="false">
      <c r="A424" s="21" t="s">
        <v>129</v>
      </c>
      <c r="B424" s="15" t="s">
        <v>787</v>
      </c>
      <c r="C424" s="15" t="s">
        <v>170</v>
      </c>
      <c r="D424" s="15" t="s">
        <v>790</v>
      </c>
      <c r="E424" s="35" t="n">
        <v>173900</v>
      </c>
      <c r="F424" s="35" t="n">
        <v>0</v>
      </c>
      <c r="G424" s="35" t="n">
        <v>27909783</v>
      </c>
      <c r="H424" s="36" t="s">
        <v>187</v>
      </c>
    </row>
    <row r="425" customFormat="false" ht="17.15" hidden="false" customHeight="false" outlineLevel="0" collapsed="false">
      <c r="A425" s="21" t="s">
        <v>129</v>
      </c>
      <c r="B425" s="15" t="s">
        <v>787</v>
      </c>
      <c r="C425" s="15" t="s">
        <v>170</v>
      </c>
      <c r="D425" s="15" t="s">
        <v>791</v>
      </c>
      <c r="E425" s="35" t="n">
        <v>175000</v>
      </c>
      <c r="F425" s="35" t="n">
        <v>0</v>
      </c>
      <c r="G425" s="35" t="n">
        <v>28083683</v>
      </c>
      <c r="H425" s="36" t="s">
        <v>187</v>
      </c>
    </row>
    <row r="426" customFormat="false" ht="17.15" hidden="false" customHeight="false" outlineLevel="0" collapsed="false">
      <c r="A426" s="30" t="s">
        <v>129</v>
      </c>
      <c r="B426" s="29" t="s">
        <v>792</v>
      </c>
      <c r="C426" s="30" t="s">
        <v>441</v>
      </c>
      <c r="D426" s="29" t="s">
        <v>793</v>
      </c>
      <c r="E426" s="33" t="n">
        <v>0</v>
      </c>
      <c r="F426" s="33" t="n">
        <v>5087</v>
      </c>
      <c r="G426" s="33" t="n">
        <v>28258683</v>
      </c>
      <c r="H426" s="34" t="s">
        <v>443</v>
      </c>
    </row>
    <row r="427" customFormat="false" ht="17.15" hidden="false" customHeight="false" outlineLevel="0" collapsed="false">
      <c r="A427" s="30" t="s">
        <v>129</v>
      </c>
      <c r="B427" s="29" t="s">
        <v>794</v>
      </c>
      <c r="C427" s="30" t="s">
        <v>226</v>
      </c>
      <c r="D427" s="30" t="s">
        <v>617</v>
      </c>
      <c r="E427" s="33" t="n">
        <v>10000000</v>
      </c>
      <c r="F427" s="33" t="n">
        <v>0</v>
      </c>
      <c r="G427" s="33" t="n">
        <v>28253596</v>
      </c>
      <c r="H427" s="34" t="s">
        <v>454</v>
      </c>
    </row>
    <row r="428" customFormat="false" ht="17.15" hidden="false" customHeight="false" outlineLevel="0" collapsed="false">
      <c r="A428" s="30" t="s">
        <v>129</v>
      </c>
      <c r="B428" s="29" t="s">
        <v>795</v>
      </c>
      <c r="C428" s="30" t="s">
        <v>131</v>
      </c>
      <c r="D428" s="30" t="s">
        <v>57</v>
      </c>
      <c r="E428" s="33" t="n">
        <v>0</v>
      </c>
      <c r="F428" s="33" t="n">
        <v>3089075</v>
      </c>
      <c r="G428" s="33" t="n">
        <v>38253596</v>
      </c>
      <c r="H428" s="34" t="s">
        <v>132</v>
      </c>
    </row>
    <row r="429" customFormat="false" ht="17.15" hidden="false" customHeight="false" outlineLevel="0" collapsed="false">
      <c r="A429" s="38" t="s">
        <v>129</v>
      </c>
      <c r="B429" s="39" t="s">
        <v>796</v>
      </c>
      <c r="C429" s="38" t="s">
        <v>226</v>
      </c>
      <c r="D429" s="38" t="s">
        <v>447</v>
      </c>
      <c r="E429" s="40" t="n">
        <v>6695000</v>
      </c>
      <c r="F429" s="40" t="n">
        <v>0</v>
      </c>
      <c r="G429" s="40" t="n">
        <v>35164521</v>
      </c>
      <c r="H429" s="41" t="s">
        <v>448</v>
      </c>
    </row>
    <row r="430" customFormat="false" ht="17.15" hidden="false" customHeight="false" outlineLevel="0" collapsed="false">
      <c r="A430" s="30" t="s">
        <v>129</v>
      </c>
      <c r="B430" s="29" t="s">
        <v>797</v>
      </c>
      <c r="C430" s="30" t="s">
        <v>131</v>
      </c>
      <c r="D430" s="29" t="s">
        <v>54</v>
      </c>
      <c r="E430" s="33" t="n">
        <v>0</v>
      </c>
      <c r="F430" s="33" t="n">
        <v>35128506</v>
      </c>
      <c r="G430" s="33" t="n">
        <v>41859521</v>
      </c>
      <c r="H430" s="34" t="s">
        <v>132</v>
      </c>
    </row>
    <row r="431" customFormat="false" ht="17.15" hidden="false" customHeight="false" outlineLevel="0" collapsed="false">
      <c r="A431" s="21" t="s">
        <v>129</v>
      </c>
      <c r="B431" s="15" t="s">
        <v>798</v>
      </c>
      <c r="C431" s="21" t="s">
        <v>206</v>
      </c>
      <c r="D431" s="21" t="s">
        <v>207</v>
      </c>
      <c r="E431" s="35" t="n">
        <v>731440</v>
      </c>
      <c r="F431" s="35" t="n">
        <v>0</v>
      </c>
      <c r="G431" s="35" t="n">
        <v>6731015</v>
      </c>
      <c r="H431" s="36" t="s">
        <v>208</v>
      </c>
    </row>
    <row r="432" customFormat="false" ht="17.15" hidden="false" customHeight="false" outlineLevel="0" collapsed="false">
      <c r="A432" s="21" t="s">
        <v>129</v>
      </c>
      <c r="B432" s="15" t="s">
        <v>799</v>
      </c>
      <c r="C432" s="15" t="s">
        <v>170</v>
      </c>
      <c r="D432" s="21" t="s">
        <v>800</v>
      </c>
      <c r="E432" s="35" t="n">
        <v>29700</v>
      </c>
      <c r="F432" s="35" t="n">
        <v>0</v>
      </c>
      <c r="G432" s="35" t="n">
        <v>7462455</v>
      </c>
      <c r="H432" s="36" t="s">
        <v>212</v>
      </c>
    </row>
    <row r="433" customFormat="false" ht="17.15" hidden="false" customHeight="false" outlineLevel="0" collapsed="false">
      <c r="A433" s="21" t="s">
        <v>129</v>
      </c>
      <c r="B433" s="15" t="s">
        <v>801</v>
      </c>
      <c r="C433" s="15" t="s">
        <v>170</v>
      </c>
      <c r="D433" s="21" t="s">
        <v>802</v>
      </c>
      <c r="E433" s="35" t="n">
        <v>42764</v>
      </c>
      <c r="F433" s="35" t="n">
        <v>0</v>
      </c>
      <c r="G433" s="35" t="n">
        <v>7492155</v>
      </c>
      <c r="H433" s="36" t="s">
        <v>212</v>
      </c>
    </row>
    <row r="434" customFormat="false" ht="17.15" hidden="false" customHeight="false" outlineLevel="0" collapsed="false">
      <c r="A434" s="30" t="s">
        <v>129</v>
      </c>
      <c r="B434" s="29" t="s">
        <v>803</v>
      </c>
      <c r="C434" s="30" t="s">
        <v>131</v>
      </c>
      <c r="D434" s="30" t="s">
        <v>465</v>
      </c>
      <c r="E434" s="33" t="n">
        <v>0</v>
      </c>
      <c r="F434" s="33" t="n">
        <v>1946175</v>
      </c>
      <c r="G434" s="33" t="n">
        <v>7534919</v>
      </c>
      <c r="H434" s="34" t="s">
        <v>132</v>
      </c>
    </row>
    <row r="435" customFormat="false" ht="17.15" hidden="false" customHeight="false" outlineLevel="0" collapsed="false">
      <c r="A435" s="21" t="s">
        <v>129</v>
      </c>
      <c r="B435" s="15" t="s">
        <v>804</v>
      </c>
      <c r="C435" s="21" t="s">
        <v>250</v>
      </c>
      <c r="D435" s="21" t="s">
        <v>805</v>
      </c>
      <c r="E435" s="35" t="n">
        <v>28780</v>
      </c>
      <c r="F435" s="35" t="n">
        <v>0</v>
      </c>
      <c r="G435" s="35" t="n">
        <v>5588744</v>
      </c>
      <c r="H435" s="36" t="s">
        <v>252</v>
      </c>
    </row>
    <row r="436" customFormat="false" ht="17.15" hidden="false" customHeight="false" outlineLevel="0" collapsed="false">
      <c r="A436" s="21" t="s">
        <v>129</v>
      </c>
      <c r="B436" s="15" t="s">
        <v>804</v>
      </c>
      <c r="C436" s="21" t="s">
        <v>250</v>
      </c>
      <c r="D436" s="21" t="s">
        <v>805</v>
      </c>
      <c r="E436" s="35" t="n">
        <v>30300</v>
      </c>
      <c r="F436" s="35" t="n">
        <v>0</v>
      </c>
      <c r="G436" s="35" t="n">
        <v>5617524</v>
      </c>
      <c r="H436" s="36" t="s">
        <v>252</v>
      </c>
    </row>
    <row r="437" customFormat="false" ht="17.15" hidden="false" customHeight="false" outlineLevel="0" collapsed="false">
      <c r="A437" s="21" t="s">
        <v>129</v>
      </c>
      <c r="B437" s="15" t="s">
        <v>804</v>
      </c>
      <c r="C437" s="21" t="s">
        <v>250</v>
      </c>
      <c r="D437" s="21" t="s">
        <v>806</v>
      </c>
      <c r="E437" s="35" t="n">
        <v>1320</v>
      </c>
      <c r="F437" s="35" t="n">
        <v>0</v>
      </c>
      <c r="G437" s="35" t="n">
        <v>5647824</v>
      </c>
      <c r="H437" s="37" t="s">
        <v>176</v>
      </c>
    </row>
    <row r="438" customFormat="false" ht="17.15" hidden="false" customHeight="false" outlineLevel="0" collapsed="false">
      <c r="A438" s="30" t="s">
        <v>129</v>
      </c>
      <c r="B438" s="29" t="s">
        <v>807</v>
      </c>
      <c r="C438" s="30" t="s">
        <v>131</v>
      </c>
      <c r="D438" s="30" t="s">
        <v>60</v>
      </c>
      <c r="E438" s="33" t="n">
        <v>0</v>
      </c>
      <c r="F438" s="33" t="n">
        <v>1070190</v>
      </c>
      <c r="G438" s="33" t="n">
        <v>5649144</v>
      </c>
      <c r="H438" s="34" t="s">
        <v>132</v>
      </c>
    </row>
    <row r="439" customFormat="false" ht="17.15" hidden="false" customHeight="false" outlineLevel="0" collapsed="false">
      <c r="A439" s="21" t="s">
        <v>129</v>
      </c>
      <c r="B439" s="15" t="s">
        <v>808</v>
      </c>
      <c r="C439" s="21" t="s">
        <v>254</v>
      </c>
      <c r="D439" s="21" t="s">
        <v>809</v>
      </c>
      <c r="E439" s="35" t="n">
        <v>47200</v>
      </c>
      <c r="F439" s="35" t="n">
        <v>0</v>
      </c>
      <c r="G439" s="35" t="n">
        <v>4578954</v>
      </c>
      <c r="H439" s="37" t="s">
        <v>176</v>
      </c>
    </row>
    <row r="440" customFormat="false" ht="17.15" hidden="false" customHeight="false" outlineLevel="0" collapsed="false">
      <c r="A440" s="30" t="s">
        <v>129</v>
      </c>
      <c r="B440" s="29" t="s">
        <v>810</v>
      </c>
      <c r="C440" s="30" t="s">
        <v>226</v>
      </c>
      <c r="D440" s="30" t="s">
        <v>617</v>
      </c>
      <c r="E440" s="33" t="n">
        <v>35000000</v>
      </c>
      <c r="F440" s="33" t="n">
        <v>0</v>
      </c>
      <c r="G440" s="33" t="n">
        <v>4626154</v>
      </c>
      <c r="H440" s="34" t="s">
        <v>454</v>
      </c>
    </row>
    <row r="441" customFormat="false" ht="17.15" hidden="false" customHeight="false" outlineLevel="0" collapsed="false">
      <c r="A441" s="21" t="s">
        <v>129</v>
      </c>
      <c r="B441" s="15" t="s">
        <v>811</v>
      </c>
      <c r="C441" s="15" t="s">
        <v>170</v>
      </c>
      <c r="D441" s="21" t="s">
        <v>812</v>
      </c>
      <c r="E441" s="35" t="n">
        <v>20000</v>
      </c>
      <c r="F441" s="35" t="n">
        <v>0</v>
      </c>
      <c r="G441" s="35" t="n">
        <v>39626154</v>
      </c>
      <c r="H441" s="36" t="s">
        <v>212</v>
      </c>
    </row>
    <row r="442" customFormat="false" ht="17.15" hidden="false" customHeight="false" outlineLevel="0" collapsed="false">
      <c r="A442" s="30" t="s">
        <v>129</v>
      </c>
      <c r="B442" s="29" t="s">
        <v>813</v>
      </c>
      <c r="C442" s="30" t="s">
        <v>131</v>
      </c>
      <c r="D442" s="30" t="s">
        <v>769</v>
      </c>
      <c r="E442" s="33" t="n">
        <v>0</v>
      </c>
      <c r="F442" s="33" t="n">
        <v>609015</v>
      </c>
      <c r="G442" s="33" t="n">
        <v>39646154</v>
      </c>
      <c r="H442" s="34" t="s">
        <v>132</v>
      </c>
    </row>
    <row r="443" customFormat="false" ht="17.15" hidden="false" customHeight="false" outlineLevel="0" collapsed="false">
      <c r="A443" s="30" t="s">
        <v>129</v>
      </c>
      <c r="B443" s="29" t="s">
        <v>814</v>
      </c>
      <c r="C443" s="30" t="s">
        <v>131</v>
      </c>
      <c r="D443" s="30" t="s">
        <v>764</v>
      </c>
      <c r="E443" s="33" t="n">
        <v>0</v>
      </c>
      <c r="F443" s="33" t="n">
        <v>1223860</v>
      </c>
      <c r="G443" s="33" t="n">
        <v>39037139</v>
      </c>
      <c r="H443" s="34" t="s">
        <v>132</v>
      </c>
    </row>
    <row r="444" customFormat="false" ht="17.15" hidden="false" customHeight="false" outlineLevel="0" collapsed="false">
      <c r="A444" s="30" t="s">
        <v>129</v>
      </c>
      <c r="B444" s="29" t="s">
        <v>815</v>
      </c>
      <c r="C444" s="30" t="s">
        <v>131</v>
      </c>
      <c r="D444" s="29" t="s">
        <v>816</v>
      </c>
      <c r="E444" s="33" t="n">
        <v>0</v>
      </c>
      <c r="F444" s="33" t="n">
        <v>374000</v>
      </c>
      <c r="G444" s="33" t="n">
        <v>37813279</v>
      </c>
      <c r="H444" s="34" t="s">
        <v>132</v>
      </c>
    </row>
    <row r="445" customFormat="false" ht="17.15" hidden="false" customHeight="false" outlineLevel="0" collapsed="false">
      <c r="A445" s="30" t="s">
        <v>129</v>
      </c>
      <c r="B445" s="29" t="s">
        <v>817</v>
      </c>
      <c r="C445" s="30" t="s">
        <v>131</v>
      </c>
      <c r="D445" s="29" t="s">
        <v>63</v>
      </c>
      <c r="E445" s="33" t="n">
        <v>0</v>
      </c>
      <c r="F445" s="33" t="n">
        <v>2166340</v>
      </c>
      <c r="G445" s="33" t="n">
        <v>37439279</v>
      </c>
      <c r="H445" s="34" t="s">
        <v>132</v>
      </c>
    </row>
    <row r="446" customFormat="false" ht="17.15" hidden="false" customHeight="false" outlineLevel="0" collapsed="false">
      <c r="A446" s="30" t="s">
        <v>129</v>
      </c>
      <c r="B446" s="29" t="s">
        <v>818</v>
      </c>
      <c r="C446" s="30" t="s">
        <v>131</v>
      </c>
      <c r="D446" s="29" t="s">
        <v>63</v>
      </c>
      <c r="E446" s="33" t="n">
        <v>0</v>
      </c>
      <c r="F446" s="33" t="n">
        <v>401170</v>
      </c>
      <c r="G446" s="33" t="n">
        <v>35272939</v>
      </c>
      <c r="H446" s="34" t="s">
        <v>132</v>
      </c>
    </row>
    <row r="447" customFormat="false" ht="17.15" hidden="false" customHeight="false" outlineLevel="0" collapsed="false">
      <c r="A447" s="30" t="s">
        <v>129</v>
      </c>
      <c r="B447" s="29" t="s">
        <v>819</v>
      </c>
      <c r="C447" s="30" t="s">
        <v>131</v>
      </c>
      <c r="D447" s="29" t="s">
        <v>55</v>
      </c>
      <c r="E447" s="33" t="n">
        <v>0</v>
      </c>
      <c r="F447" s="33" t="n">
        <v>3790424</v>
      </c>
      <c r="G447" s="33" t="n">
        <v>34871769</v>
      </c>
      <c r="H447" s="34" t="s">
        <v>132</v>
      </c>
    </row>
    <row r="448" customFormat="false" ht="17.15" hidden="false" customHeight="false" outlineLevel="0" collapsed="false">
      <c r="A448" s="30" t="s">
        <v>129</v>
      </c>
      <c r="B448" s="29" t="s">
        <v>820</v>
      </c>
      <c r="C448" s="30" t="s">
        <v>131</v>
      </c>
      <c r="D448" s="29" t="s">
        <v>821</v>
      </c>
      <c r="E448" s="33" t="n">
        <v>0</v>
      </c>
      <c r="F448" s="33" t="n">
        <v>344025</v>
      </c>
      <c r="G448" s="33" t="n">
        <v>31081345</v>
      </c>
      <c r="H448" s="34" t="s">
        <v>132</v>
      </c>
    </row>
    <row r="449" customFormat="false" ht="17.15" hidden="false" customHeight="false" outlineLevel="0" collapsed="false">
      <c r="A449" s="30" t="s">
        <v>129</v>
      </c>
      <c r="B449" s="29" t="s">
        <v>822</v>
      </c>
      <c r="C449" s="30" t="s">
        <v>131</v>
      </c>
      <c r="D449" s="30" t="s">
        <v>311</v>
      </c>
      <c r="E449" s="33" t="n">
        <v>0</v>
      </c>
      <c r="F449" s="33" t="n">
        <v>475860</v>
      </c>
      <c r="G449" s="33" t="n">
        <v>30737320</v>
      </c>
      <c r="H449" s="34" t="s">
        <v>132</v>
      </c>
    </row>
    <row r="450" customFormat="false" ht="15" hidden="false" customHeight="false" outlineLevel="0" collapsed="false">
      <c r="A450" s="21" t="s">
        <v>129</v>
      </c>
      <c r="B450" s="15" t="s">
        <v>823</v>
      </c>
      <c r="C450" s="21" t="s">
        <v>163</v>
      </c>
      <c r="D450" s="15" t="s">
        <v>824</v>
      </c>
      <c r="E450" s="35" t="n">
        <v>87800</v>
      </c>
      <c r="F450" s="35" t="n">
        <v>0</v>
      </c>
      <c r="G450" s="35" t="n">
        <v>30261460</v>
      </c>
      <c r="H450" s="36" t="s">
        <v>165</v>
      </c>
    </row>
    <row r="451" customFormat="false" ht="17.15" hidden="false" customHeight="false" outlineLevel="0" collapsed="false">
      <c r="A451" s="30" t="s">
        <v>129</v>
      </c>
      <c r="B451" s="29" t="s">
        <v>825</v>
      </c>
      <c r="C451" s="30" t="s">
        <v>131</v>
      </c>
      <c r="D451" s="29" t="s">
        <v>58</v>
      </c>
      <c r="E451" s="33" t="n">
        <v>0</v>
      </c>
      <c r="F451" s="33" t="n">
        <v>671209</v>
      </c>
      <c r="G451" s="33" t="n">
        <v>30349260</v>
      </c>
      <c r="H451" s="34" t="s">
        <v>132</v>
      </c>
    </row>
    <row r="452" customFormat="false" ht="17.15" hidden="false" customHeight="false" outlineLevel="0" collapsed="false">
      <c r="A452" s="21" t="s">
        <v>129</v>
      </c>
      <c r="B452" s="15" t="s">
        <v>826</v>
      </c>
      <c r="C452" s="15" t="s">
        <v>170</v>
      </c>
      <c r="D452" s="21" t="s">
        <v>827</v>
      </c>
      <c r="E452" s="35" t="n">
        <v>250000</v>
      </c>
      <c r="F452" s="35" t="n">
        <v>0</v>
      </c>
      <c r="G452" s="35" t="n">
        <v>29678051</v>
      </c>
      <c r="H452" s="36" t="s">
        <v>172</v>
      </c>
    </row>
    <row r="453" customFormat="false" ht="17.15" hidden="false" customHeight="false" outlineLevel="0" collapsed="false">
      <c r="A453" s="21" t="s">
        <v>129</v>
      </c>
      <c r="B453" s="15" t="s">
        <v>828</v>
      </c>
      <c r="C453" s="15" t="s">
        <v>174</v>
      </c>
      <c r="D453" s="15" t="s">
        <v>175</v>
      </c>
      <c r="E453" s="35" t="n">
        <v>121000</v>
      </c>
      <c r="F453" s="35" t="n">
        <v>0</v>
      </c>
      <c r="G453" s="35" t="n">
        <v>29928051</v>
      </c>
      <c r="H453" s="37" t="s">
        <v>176</v>
      </c>
    </row>
    <row r="454" customFormat="false" ht="15" hidden="false" customHeight="false" outlineLevel="0" collapsed="false">
      <c r="A454" s="21" t="s">
        <v>129</v>
      </c>
      <c r="B454" s="15" t="s">
        <v>829</v>
      </c>
      <c r="C454" s="21" t="s">
        <v>163</v>
      </c>
      <c r="D454" s="15" t="s">
        <v>830</v>
      </c>
      <c r="E454" s="35" t="n">
        <v>70870</v>
      </c>
      <c r="F454" s="35" t="n">
        <v>0</v>
      </c>
      <c r="G454" s="35" t="n">
        <v>30049051</v>
      </c>
      <c r="H454" s="36" t="s">
        <v>165</v>
      </c>
    </row>
    <row r="455" customFormat="false" ht="15" hidden="false" customHeight="false" outlineLevel="0" collapsed="false">
      <c r="A455" s="21" t="s">
        <v>129</v>
      </c>
      <c r="B455" s="15" t="s">
        <v>831</v>
      </c>
      <c r="C455" s="21" t="s">
        <v>163</v>
      </c>
      <c r="D455" s="15" t="s">
        <v>832</v>
      </c>
      <c r="E455" s="35" t="n">
        <v>5660</v>
      </c>
      <c r="F455" s="35" t="n">
        <v>0</v>
      </c>
      <c r="G455" s="35" t="n">
        <v>30119921</v>
      </c>
      <c r="H455" s="36" t="s">
        <v>165</v>
      </c>
    </row>
    <row r="456" customFormat="false" ht="15" hidden="false" customHeight="false" outlineLevel="0" collapsed="false">
      <c r="A456" s="21" t="s">
        <v>129</v>
      </c>
      <c r="B456" s="15" t="s">
        <v>833</v>
      </c>
      <c r="C456" s="21" t="s">
        <v>182</v>
      </c>
      <c r="D456" s="21" t="s">
        <v>183</v>
      </c>
      <c r="E456" s="35" t="n">
        <v>328000</v>
      </c>
      <c r="F456" s="35" t="n">
        <v>0</v>
      </c>
      <c r="G456" s="35" t="n">
        <v>30125581</v>
      </c>
      <c r="H456" s="36" t="s">
        <v>184</v>
      </c>
    </row>
    <row r="457" customFormat="false" ht="17.15" hidden="false" customHeight="false" outlineLevel="0" collapsed="false">
      <c r="A457" s="21" t="s">
        <v>129</v>
      </c>
      <c r="B457" s="15" t="s">
        <v>834</v>
      </c>
      <c r="C457" s="15" t="s">
        <v>170</v>
      </c>
      <c r="D457" s="15" t="s">
        <v>835</v>
      </c>
      <c r="E457" s="35" t="n">
        <v>173900</v>
      </c>
      <c r="F457" s="35" t="n">
        <v>0</v>
      </c>
      <c r="G457" s="35" t="n">
        <v>30453581</v>
      </c>
      <c r="H457" s="36" t="s">
        <v>187</v>
      </c>
    </row>
    <row r="458" customFormat="false" ht="17.15" hidden="false" customHeight="false" outlineLevel="0" collapsed="false">
      <c r="A458" s="21" t="s">
        <v>129</v>
      </c>
      <c r="B458" s="15" t="s">
        <v>836</v>
      </c>
      <c r="C458" s="15" t="s">
        <v>170</v>
      </c>
      <c r="D458" s="15" t="s">
        <v>837</v>
      </c>
      <c r="E458" s="35" t="n">
        <v>173900</v>
      </c>
      <c r="F458" s="35" t="n">
        <v>0</v>
      </c>
      <c r="G458" s="35" t="n">
        <v>30627481</v>
      </c>
      <c r="H458" s="36" t="s">
        <v>187</v>
      </c>
    </row>
    <row r="459" customFormat="false" ht="17.15" hidden="false" customHeight="false" outlineLevel="0" collapsed="false">
      <c r="A459" s="21" t="s">
        <v>129</v>
      </c>
      <c r="B459" s="15" t="s">
        <v>836</v>
      </c>
      <c r="C459" s="15" t="s">
        <v>170</v>
      </c>
      <c r="D459" s="15" t="s">
        <v>838</v>
      </c>
      <c r="E459" s="35" t="n">
        <v>173900</v>
      </c>
      <c r="F459" s="35" t="n">
        <v>0</v>
      </c>
      <c r="G459" s="35" t="n">
        <v>30801381</v>
      </c>
      <c r="H459" s="36" t="s">
        <v>187</v>
      </c>
    </row>
    <row r="460" customFormat="false" ht="17.15" hidden="false" customHeight="false" outlineLevel="0" collapsed="false">
      <c r="A460" s="21" t="s">
        <v>129</v>
      </c>
      <c r="B460" s="15" t="s">
        <v>836</v>
      </c>
      <c r="C460" s="15" t="s">
        <v>170</v>
      </c>
      <c r="D460" s="15" t="s">
        <v>839</v>
      </c>
      <c r="E460" s="35" t="n">
        <v>173900</v>
      </c>
      <c r="F460" s="35" t="n">
        <v>0</v>
      </c>
      <c r="G460" s="35" t="n">
        <v>30975281</v>
      </c>
      <c r="H460" s="36" t="s">
        <v>187</v>
      </c>
    </row>
    <row r="461" customFormat="false" ht="17.15" hidden="false" customHeight="false" outlineLevel="0" collapsed="false">
      <c r="A461" s="21" t="s">
        <v>129</v>
      </c>
      <c r="B461" s="15" t="s">
        <v>840</v>
      </c>
      <c r="C461" s="15" t="s">
        <v>170</v>
      </c>
      <c r="D461" s="15" t="s">
        <v>841</v>
      </c>
      <c r="E461" s="35" t="n">
        <v>175000</v>
      </c>
      <c r="F461" s="35" t="n">
        <v>0</v>
      </c>
      <c r="G461" s="35" t="n">
        <v>31149181</v>
      </c>
      <c r="H461" s="36" t="s">
        <v>187</v>
      </c>
    </row>
    <row r="462" customFormat="false" ht="17.15" hidden="false" customHeight="false" outlineLevel="0" collapsed="false">
      <c r="A462" s="30" t="s">
        <v>129</v>
      </c>
      <c r="B462" s="29" t="s">
        <v>842</v>
      </c>
      <c r="C462" s="30" t="s">
        <v>131</v>
      </c>
      <c r="D462" s="29" t="s">
        <v>54</v>
      </c>
      <c r="E462" s="33" t="n">
        <v>0</v>
      </c>
      <c r="F462" s="33" t="n">
        <v>28059240</v>
      </c>
      <c r="G462" s="33" t="n">
        <v>31324181</v>
      </c>
      <c r="H462" s="34" t="s">
        <v>132</v>
      </c>
    </row>
    <row r="463" customFormat="false" ht="17.15" hidden="false" customHeight="false" outlineLevel="0" collapsed="false">
      <c r="A463" s="21" t="s">
        <v>129</v>
      </c>
      <c r="B463" s="15" t="s">
        <v>843</v>
      </c>
      <c r="C463" s="21" t="s">
        <v>206</v>
      </c>
      <c r="D463" s="21" t="s">
        <v>207</v>
      </c>
      <c r="E463" s="35" t="n">
        <v>731440</v>
      </c>
      <c r="F463" s="35" t="n">
        <v>0</v>
      </c>
      <c r="G463" s="35" t="n">
        <v>3264941</v>
      </c>
      <c r="H463" s="36" t="s">
        <v>208</v>
      </c>
    </row>
    <row r="464" customFormat="false" ht="17.15" hidden="false" customHeight="false" outlineLevel="0" collapsed="false">
      <c r="A464" s="21" t="s">
        <v>129</v>
      </c>
      <c r="B464" s="15" t="s">
        <v>844</v>
      </c>
      <c r="C464" s="15" t="s">
        <v>170</v>
      </c>
      <c r="D464" s="21" t="s">
        <v>845</v>
      </c>
      <c r="E464" s="35" t="n">
        <v>29700</v>
      </c>
      <c r="F464" s="35" t="n">
        <v>0</v>
      </c>
      <c r="G464" s="35" t="n">
        <v>3996381</v>
      </c>
      <c r="H464" s="36" t="s">
        <v>212</v>
      </c>
    </row>
    <row r="465" customFormat="false" ht="17.15" hidden="false" customHeight="false" outlineLevel="0" collapsed="false">
      <c r="A465" s="21" t="s">
        <v>129</v>
      </c>
      <c r="B465" s="15" t="s">
        <v>844</v>
      </c>
      <c r="C465" s="15" t="s">
        <v>170</v>
      </c>
      <c r="D465" s="21" t="s">
        <v>846</v>
      </c>
      <c r="E465" s="35" t="n">
        <v>57673</v>
      </c>
      <c r="F465" s="35" t="n">
        <v>0</v>
      </c>
      <c r="G465" s="35" t="n">
        <v>4026081</v>
      </c>
      <c r="H465" s="36" t="s">
        <v>212</v>
      </c>
    </row>
    <row r="466" customFormat="false" ht="17.15" hidden="false" customHeight="false" outlineLevel="0" collapsed="false">
      <c r="A466" s="30" t="s">
        <v>129</v>
      </c>
      <c r="B466" s="29" t="s">
        <v>847</v>
      </c>
      <c r="C466" s="30" t="s">
        <v>131</v>
      </c>
      <c r="D466" s="30" t="s">
        <v>633</v>
      </c>
      <c r="E466" s="33" t="n">
        <v>0</v>
      </c>
      <c r="F466" s="33" t="n">
        <v>323796</v>
      </c>
      <c r="G466" s="33" t="n">
        <v>4083754</v>
      </c>
      <c r="H466" s="34" t="s">
        <v>132</v>
      </c>
    </row>
    <row r="467" customFormat="false" ht="17.15" hidden="false" customHeight="false" outlineLevel="0" collapsed="false">
      <c r="A467" s="30" t="s">
        <v>129</v>
      </c>
      <c r="B467" s="29" t="s">
        <v>848</v>
      </c>
      <c r="C467" s="30" t="s">
        <v>131</v>
      </c>
      <c r="D467" s="30" t="s">
        <v>57</v>
      </c>
      <c r="E467" s="33" t="n">
        <v>0</v>
      </c>
      <c r="F467" s="33" t="n">
        <v>3105410</v>
      </c>
      <c r="G467" s="33" t="n">
        <v>3759958</v>
      </c>
      <c r="H467" s="34" t="s">
        <v>132</v>
      </c>
    </row>
    <row r="468" customFormat="false" ht="17.15" hidden="false" customHeight="false" outlineLevel="0" collapsed="false">
      <c r="A468" s="30" t="s">
        <v>129</v>
      </c>
      <c r="B468" s="29" t="s">
        <v>849</v>
      </c>
      <c r="C468" s="30" t="s">
        <v>226</v>
      </c>
      <c r="D468" s="30" t="s">
        <v>617</v>
      </c>
      <c r="E468" s="33" t="n">
        <v>20000000</v>
      </c>
      <c r="F468" s="33" t="n">
        <v>0</v>
      </c>
      <c r="G468" s="33" t="n">
        <v>654548</v>
      </c>
      <c r="H468" s="34" t="s">
        <v>454</v>
      </c>
    </row>
    <row r="469" customFormat="false" ht="17.15" hidden="false" customHeight="false" outlineLevel="0" collapsed="false">
      <c r="A469" s="30" t="s">
        <v>129</v>
      </c>
      <c r="B469" s="29" t="s">
        <v>850</v>
      </c>
      <c r="C469" s="30" t="s">
        <v>131</v>
      </c>
      <c r="D469" s="30" t="s">
        <v>465</v>
      </c>
      <c r="E469" s="33" t="n">
        <v>0</v>
      </c>
      <c r="F469" s="33" t="n">
        <v>879285</v>
      </c>
      <c r="G469" s="33" t="n">
        <v>20654548</v>
      </c>
      <c r="H469" s="34" t="s">
        <v>132</v>
      </c>
    </row>
    <row r="470" customFormat="false" ht="17.15" hidden="false" customHeight="false" outlineLevel="0" collapsed="false">
      <c r="A470" s="30" t="s">
        <v>129</v>
      </c>
      <c r="B470" s="29" t="s">
        <v>851</v>
      </c>
      <c r="C470" s="30" t="s">
        <v>131</v>
      </c>
      <c r="D470" s="30" t="s">
        <v>60</v>
      </c>
      <c r="E470" s="33" t="n">
        <v>0</v>
      </c>
      <c r="F470" s="33" t="n">
        <v>663520</v>
      </c>
      <c r="G470" s="33" t="n">
        <v>19775263</v>
      </c>
      <c r="H470" s="34" t="s">
        <v>132</v>
      </c>
    </row>
    <row r="471" customFormat="false" ht="17.15" hidden="false" customHeight="false" outlineLevel="0" collapsed="false">
      <c r="A471" s="21" t="s">
        <v>129</v>
      </c>
      <c r="B471" s="15" t="s">
        <v>852</v>
      </c>
      <c r="C471" s="21" t="s">
        <v>250</v>
      </c>
      <c r="D471" s="21" t="s">
        <v>805</v>
      </c>
      <c r="E471" s="35" t="n">
        <v>28780</v>
      </c>
      <c r="F471" s="35" t="n">
        <v>0</v>
      </c>
      <c r="G471" s="35" t="n">
        <v>19111743</v>
      </c>
      <c r="H471" s="36" t="s">
        <v>252</v>
      </c>
    </row>
    <row r="472" customFormat="false" ht="17.15" hidden="false" customHeight="false" outlineLevel="0" collapsed="false">
      <c r="A472" s="21" t="s">
        <v>129</v>
      </c>
      <c r="B472" s="15" t="s">
        <v>852</v>
      </c>
      <c r="C472" s="21" t="s">
        <v>250</v>
      </c>
      <c r="D472" s="21" t="s">
        <v>805</v>
      </c>
      <c r="E472" s="35" t="n">
        <v>30300</v>
      </c>
      <c r="F472" s="35" t="n">
        <v>0</v>
      </c>
      <c r="G472" s="35" t="n">
        <v>19140523</v>
      </c>
      <c r="H472" s="36" t="s">
        <v>252</v>
      </c>
    </row>
    <row r="473" customFormat="false" ht="17.15" hidden="false" customHeight="false" outlineLevel="0" collapsed="false">
      <c r="A473" s="21" t="s">
        <v>129</v>
      </c>
      <c r="B473" s="15" t="s">
        <v>852</v>
      </c>
      <c r="C473" s="21" t="s">
        <v>250</v>
      </c>
      <c r="D473" s="21" t="s">
        <v>805</v>
      </c>
      <c r="E473" s="35" t="n">
        <v>19900</v>
      </c>
      <c r="F473" s="35" t="n">
        <v>0</v>
      </c>
      <c r="G473" s="35" t="n">
        <v>19170823</v>
      </c>
      <c r="H473" s="36" t="s">
        <v>252</v>
      </c>
    </row>
    <row r="474" customFormat="false" ht="17.15" hidden="false" customHeight="false" outlineLevel="0" collapsed="false">
      <c r="A474" s="21" t="s">
        <v>129</v>
      </c>
      <c r="B474" s="15" t="s">
        <v>853</v>
      </c>
      <c r="C474" s="21" t="s">
        <v>254</v>
      </c>
      <c r="D474" s="21" t="s">
        <v>854</v>
      </c>
      <c r="E474" s="35" t="n">
        <v>47200</v>
      </c>
      <c r="F474" s="35" t="n">
        <v>0</v>
      </c>
      <c r="G474" s="35" t="n">
        <v>19190723</v>
      </c>
      <c r="H474" s="37" t="s">
        <v>176</v>
      </c>
    </row>
    <row r="475" customFormat="false" ht="17.15" hidden="false" customHeight="false" outlineLevel="0" collapsed="false">
      <c r="A475" s="21" t="s">
        <v>129</v>
      </c>
      <c r="B475" s="15" t="s">
        <v>855</v>
      </c>
      <c r="C475" s="21" t="s">
        <v>250</v>
      </c>
      <c r="D475" s="15" t="s">
        <v>856</v>
      </c>
      <c r="E475" s="35" t="n">
        <v>5000</v>
      </c>
      <c r="F475" s="35" t="n">
        <v>0</v>
      </c>
      <c r="G475" s="35" t="n">
        <v>19237923</v>
      </c>
      <c r="H475" s="36" t="s">
        <v>857</v>
      </c>
    </row>
    <row r="476" customFormat="false" ht="17.15" hidden="false" customHeight="false" outlineLevel="0" collapsed="false">
      <c r="A476" s="21" t="s">
        <v>129</v>
      </c>
      <c r="B476" s="15" t="s">
        <v>858</v>
      </c>
      <c r="C476" s="15" t="s">
        <v>170</v>
      </c>
      <c r="D476" s="21" t="s">
        <v>859</v>
      </c>
      <c r="E476" s="35" t="n">
        <v>20000</v>
      </c>
      <c r="F476" s="35" t="n">
        <v>0</v>
      </c>
      <c r="G476" s="35" t="n">
        <v>19242923</v>
      </c>
      <c r="H476" s="36" t="s">
        <v>212</v>
      </c>
    </row>
    <row r="477" customFormat="false" ht="17.15" hidden="false" customHeight="false" outlineLevel="0" collapsed="false">
      <c r="A477" s="30" t="s">
        <v>129</v>
      </c>
      <c r="B477" s="29" t="s">
        <v>860</v>
      </c>
      <c r="C477" s="30" t="s">
        <v>131</v>
      </c>
      <c r="D477" s="30" t="s">
        <v>764</v>
      </c>
      <c r="E477" s="33" t="n">
        <v>0</v>
      </c>
      <c r="F477" s="33" t="n">
        <v>621280</v>
      </c>
      <c r="G477" s="33" t="n">
        <v>19262923</v>
      </c>
      <c r="H477" s="34" t="s">
        <v>132</v>
      </c>
    </row>
    <row r="478" customFormat="false" ht="17.15" hidden="false" customHeight="false" outlineLevel="0" collapsed="false">
      <c r="A478" s="30" t="s">
        <v>129</v>
      </c>
      <c r="B478" s="29" t="s">
        <v>861</v>
      </c>
      <c r="C478" s="30" t="s">
        <v>131</v>
      </c>
      <c r="D478" s="29" t="s">
        <v>66</v>
      </c>
      <c r="E478" s="33" t="n">
        <v>0</v>
      </c>
      <c r="F478" s="33" t="n">
        <v>698940</v>
      </c>
      <c r="G478" s="33" t="n">
        <v>18641643</v>
      </c>
      <c r="H478" s="34" t="s">
        <v>132</v>
      </c>
    </row>
    <row r="479" customFormat="false" ht="17.15" hidden="false" customHeight="false" outlineLevel="0" collapsed="false">
      <c r="A479" s="30" t="s">
        <v>129</v>
      </c>
      <c r="B479" s="29" t="s">
        <v>862</v>
      </c>
      <c r="C479" s="30" t="s">
        <v>131</v>
      </c>
      <c r="D479" s="29" t="s">
        <v>63</v>
      </c>
      <c r="E479" s="33" t="n">
        <v>0</v>
      </c>
      <c r="F479" s="33" t="n">
        <v>308000</v>
      </c>
      <c r="G479" s="33" t="n">
        <v>17942703</v>
      </c>
      <c r="H479" s="34" t="s">
        <v>132</v>
      </c>
    </row>
    <row r="480" customFormat="false" ht="17.15" hidden="false" customHeight="false" outlineLevel="0" collapsed="false">
      <c r="A480" s="30" t="s">
        <v>129</v>
      </c>
      <c r="B480" s="29" t="s">
        <v>863</v>
      </c>
      <c r="C480" s="30" t="s">
        <v>131</v>
      </c>
      <c r="D480" s="29" t="s">
        <v>63</v>
      </c>
      <c r="E480" s="33" t="n">
        <v>0</v>
      </c>
      <c r="F480" s="33" t="n">
        <v>308000</v>
      </c>
      <c r="G480" s="33" t="n">
        <v>17634703</v>
      </c>
      <c r="H480" s="34" t="s">
        <v>132</v>
      </c>
    </row>
    <row r="481" customFormat="false" ht="17.15" hidden="false" customHeight="false" outlineLevel="0" collapsed="false">
      <c r="A481" s="30" t="s">
        <v>129</v>
      </c>
      <c r="B481" s="29" t="s">
        <v>864</v>
      </c>
      <c r="C481" s="30" t="s">
        <v>131</v>
      </c>
      <c r="D481" s="30" t="s">
        <v>769</v>
      </c>
      <c r="E481" s="33" t="n">
        <v>0</v>
      </c>
      <c r="F481" s="33" t="n">
        <v>284515</v>
      </c>
      <c r="G481" s="33" t="n">
        <v>17326703</v>
      </c>
      <c r="H481" s="34" t="s">
        <v>132</v>
      </c>
    </row>
    <row r="482" customFormat="false" ht="17.15" hidden="false" customHeight="false" outlineLevel="0" collapsed="false">
      <c r="A482" s="30" t="s">
        <v>129</v>
      </c>
      <c r="B482" s="29" t="s">
        <v>865</v>
      </c>
      <c r="C482" s="30" t="s">
        <v>131</v>
      </c>
      <c r="D482" s="29" t="s">
        <v>55</v>
      </c>
      <c r="E482" s="33" t="n">
        <v>0</v>
      </c>
      <c r="F482" s="33" t="n">
        <v>3709420</v>
      </c>
      <c r="G482" s="33" t="n">
        <v>17042188</v>
      </c>
      <c r="H482" s="34" t="s">
        <v>132</v>
      </c>
    </row>
    <row r="483" customFormat="false" ht="17.15" hidden="false" customHeight="false" outlineLevel="0" collapsed="false">
      <c r="A483" s="30" t="s">
        <v>129</v>
      </c>
      <c r="B483" s="29" t="s">
        <v>866</v>
      </c>
      <c r="C483" s="30" t="s">
        <v>131</v>
      </c>
      <c r="D483" s="30" t="s">
        <v>56</v>
      </c>
      <c r="E483" s="33" t="n">
        <v>0</v>
      </c>
      <c r="F483" s="33" t="n">
        <v>825000</v>
      </c>
      <c r="G483" s="33" t="n">
        <v>13332768</v>
      </c>
      <c r="H483" s="34" t="s">
        <v>132</v>
      </c>
    </row>
    <row r="484" customFormat="false" ht="17.15" hidden="false" customHeight="false" outlineLevel="0" collapsed="false">
      <c r="A484" s="30" t="s">
        <v>129</v>
      </c>
      <c r="B484" s="29" t="s">
        <v>867</v>
      </c>
      <c r="C484" s="30" t="s">
        <v>131</v>
      </c>
      <c r="D484" s="29" t="s">
        <v>58</v>
      </c>
      <c r="E484" s="33" t="n">
        <v>0</v>
      </c>
      <c r="F484" s="33" t="n">
        <v>268686</v>
      </c>
      <c r="G484" s="33" t="n">
        <v>12507768</v>
      </c>
      <c r="H484" s="34" t="s">
        <v>132</v>
      </c>
    </row>
    <row r="485" customFormat="false" ht="17.15" hidden="false" customHeight="false" outlineLevel="0" collapsed="false">
      <c r="A485" s="30" t="s">
        <v>129</v>
      </c>
      <c r="B485" s="29" t="s">
        <v>868</v>
      </c>
      <c r="C485" s="30" t="s">
        <v>131</v>
      </c>
      <c r="D485" s="30" t="s">
        <v>311</v>
      </c>
      <c r="E485" s="33" t="n">
        <v>0</v>
      </c>
      <c r="F485" s="33" t="n">
        <v>2401256</v>
      </c>
      <c r="G485" s="33" t="n">
        <v>12239082</v>
      </c>
      <c r="H485" s="34" t="s">
        <v>132</v>
      </c>
    </row>
    <row r="486" customFormat="false" ht="17.15" hidden="false" customHeight="false" outlineLevel="0" collapsed="false">
      <c r="A486" s="30" t="s">
        <v>129</v>
      </c>
      <c r="B486" s="29" t="s">
        <v>869</v>
      </c>
      <c r="C486" s="30" t="s">
        <v>131</v>
      </c>
      <c r="D486" s="29" t="s">
        <v>67</v>
      </c>
      <c r="E486" s="33" t="n">
        <v>0</v>
      </c>
      <c r="F486" s="33" t="n">
        <v>486200</v>
      </c>
      <c r="G486" s="33" t="n">
        <v>9837826</v>
      </c>
      <c r="H486" s="34" t="s">
        <v>132</v>
      </c>
    </row>
    <row r="487" customFormat="false" ht="17.15" hidden="false" customHeight="false" outlineLevel="0" collapsed="false">
      <c r="A487" s="30" t="s">
        <v>129</v>
      </c>
      <c r="B487" s="29" t="s">
        <v>870</v>
      </c>
      <c r="C487" s="30" t="s">
        <v>131</v>
      </c>
      <c r="D487" s="30" t="s">
        <v>311</v>
      </c>
      <c r="E487" s="33" t="n">
        <v>0</v>
      </c>
      <c r="F487" s="33" t="n">
        <v>7949</v>
      </c>
      <c r="G487" s="33" t="n">
        <v>9351626</v>
      </c>
      <c r="H487" s="34" t="s">
        <v>132</v>
      </c>
    </row>
    <row r="488" customFormat="false" ht="17.15" hidden="false" customHeight="false" outlineLevel="0" collapsed="false">
      <c r="A488" s="21" t="s">
        <v>129</v>
      </c>
      <c r="B488" s="15" t="s">
        <v>871</v>
      </c>
      <c r="C488" s="15" t="s">
        <v>170</v>
      </c>
      <c r="D488" s="21" t="s">
        <v>872</v>
      </c>
      <c r="E488" s="35" t="n">
        <v>250000</v>
      </c>
      <c r="F488" s="35" t="n">
        <v>0</v>
      </c>
      <c r="G488" s="35" t="n">
        <v>9343677</v>
      </c>
      <c r="H488" s="36" t="s">
        <v>172</v>
      </c>
    </row>
    <row r="489" customFormat="false" ht="17.15" hidden="false" customHeight="false" outlineLevel="0" collapsed="false">
      <c r="A489" s="21" t="s">
        <v>129</v>
      </c>
      <c r="B489" s="15" t="s">
        <v>873</v>
      </c>
      <c r="C489" s="15" t="s">
        <v>174</v>
      </c>
      <c r="D489" s="15" t="s">
        <v>175</v>
      </c>
      <c r="E489" s="35" t="n">
        <v>121000</v>
      </c>
      <c r="F489" s="35" t="n">
        <v>0</v>
      </c>
      <c r="G489" s="35" t="n">
        <v>9593677</v>
      </c>
      <c r="H489" s="37" t="s">
        <v>176</v>
      </c>
    </row>
    <row r="490" customFormat="false" ht="15" hidden="false" customHeight="false" outlineLevel="0" collapsed="false">
      <c r="A490" s="21" t="s">
        <v>129</v>
      </c>
      <c r="B490" s="15" t="s">
        <v>874</v>
      </c>
      <c r="C490" s="21" t="s">
        <v>163</v>
      </c>
      <c r="D490" s="15" t="s">
        <v>875</v>
      </c>
      <c r="E490" s="35" t="n">
        <v>87880</v>
      </c>
      <c r="F490" s="35" t="n">
        <v>0</v>
      </c>
      <c r="G490" s="35" t="n">
        <v>9714677</v>
      </c>
      <c r="H490" s="36" t="s">
        <v>165</v>
      </c>
    </row>
    <row r="491" customFormat="false" ht="15" hidden="false" customHeight="false" outlineLevel="0" collapsed="false">
      <c r="A491" s="21" t="s">
        <v>129</v>
      </c>
      <c r="B491" s="15" t="s">
        <v>876</v>
      </c>
      <c r="C491" s="21" t="s">
        <v>163</v>
      </c>
      <c r="D491" s="15" t="s">
        <v>877</v>
      </c>
      <c r="E491" s="35" t="n">
        <v>72070</v>
      </c>
      <c r="F491" s="35" t="n">
        <v>0</v>
      </c>
      <c r="G491" s="35" t="n">
        <v>9802557</v>
      </c>
      <c r="H491" s="36" t="s">
        <v>165</v>
      </c>
    </row>
    <row r="492" customFormat="false" ht="15" hidden="false" customHeight="false" outlineLevel="0" collapsed="false">
      <c r="A492" s="21" t="s">
        <v>129</v>
      </c>
      <c r="B492" s="15" t="s">
        <v>878</v>
      </c>
      <c r="C492" s="21" t="s">
        <v>163</v>
      </c>
      <c r="D492" s="15" t="s">
        <v>879</v>
      </c>
      <c r="E492" s="35" t="n">
        <v>5660</v>
      </c>
      <c r="F492" s="35" t="n">
        <v>0</v>
      </c>
      <c r="G492" s="35" t="n">
        <v>9874627</v>
      </c>
      <c r="H492" s="36" t="s">
        <v>165</v>
      </c>
    </row>
    <row r="493" customFormat="false" ht="17.15" hidden="false" customHeight="false" outlineLevel="0" collapsed="false">
      <c r="A493" s="30" t="s">
        <v>129</v>
      </c>
      <c r="B493" s="29" t="s">
        <v>880</v>
      </c>
      <c r="C493" s="30" t="s">
        <v>131</v>
      </c>
      <c r="D493" s="30" t="s">
        <v>57</v>
      </c>
      <c r="E493" s="33" t="n">
        <v>0</v>
      </c>
      <c r="F493" s="33" t="n">
        <v>1522895</v>
      </c>
      <c r="G493" s="33" t="n">
        <v>9880287</v>
      </c>
      <c r="H493" s="34" t="s">
        <v>132</v>
      </c>
    </row>
    <row r="494" customFormat="false" ht="15" hidden="false" customHeight="false" outlineLevel="0" collapsed="false">
      <c r="A494" s="21" t="s">
        <v>129</v>
      </c>
      <c r="B494" s="15" t="s">
        <v>881</v>
      </c>
      <c r="C494" s="21" t="s">
        <v>182</v>
      </c>
      <c r="D494" s="21" t="s">
        <v>183</v>
      </c>
      <c r="E494" s="35" t="n">
        <v>2260260</v>
      </c>
      <c r="F494" s="35" t="n">
        <v>0</v>
      </c>
      <c r="G494" s="35" t="n">
        <v>8357392</v>
      </c>
      <c r="H494" s="36" t="s">
        <v>184</v>
      </c>
    </row>
    <row r="495" customFormat="false" ht="17.15" hidden="false" customHeight="false" outlineLevel="0" collapsed="false">
      <c r="A495" s="21" t="s">
        <v>129</v>
      </c>
      <c r="B495" s="15" t="s">
        <v>882</v>
      </c>
      <c r="C495" s="15" t="s">
        <v>170</v>
      </c>
      <c r="D495" s="15" t="s">
        <v>883</v>
      </c>
      <c r="E495" s="35" t="n">
        <v>173900</v>
      </c>
      <c r="F495" s="35" t="n">
        <v>0</v>
      </c>
      <c r="G495" s="35" t="n">
        <v>10617652</v>
      </c>
      <c r="H495" s="36" t="s">
        <v>187</v>
      </c>
    </row>
    <row r="496" customFormat="false" ht="17.15" hidden="false" customHeight="false" outlineLevel="0" collapsed="false">
      <c r="A496" s="21" t="s">
        <v>129</v>
      </c>
      <c r="B496" s="15" t="s">
        <v>882</v>
      </c>
      <c r="C496" s="15" t="s">
        <v>170</v>
      </c>
      <c r="D496" s="15" t="s">
        <v>884</v>
      </c>
      <c r="E496" s="35" t="n">
        <v>173900</v>
      </c>
      <c r="F496" s="35" t="n">
        <v>0</v>
      </c>
      <c r="G496" s="35" t="n">
        <v>10791552</v>
      </c>
      <c r="H496" s="36" t="s">
        <v>187</v>
      </c>
    </row>
    <row r="497" customFormat="false" ht="17.15" hidden="false" customHeight="false" outlineLevel="0" collapsed="false">
      <c r="A497" s="21" t="s">
        <v>129</v>
      </c>
      <c r="B497" s="15" t="s">
        <v>882</v>
      </c>
      <c r="C497" s="15" t="s">
        <v>170</v>
      </c>
      <c r="D497" s="15" t="s">
        <v>885</v>
      </c>
      <c r="E497" s="35" t="n">
        <v>173900</v>
      </c>
      <c r="F497" s="35" t="n">
        <v>0</v>
      </c>
      <c r="G497" s="35" t="n">
        <v>10965452</v>
      </c>
      <c r="H497" s="36" t="s">
        <v>187</v>
      </c>
    </row>
    <row r="498" customFormat="false" ht="17.15" hidden="false" customHeight="false" outlineLevel="0" collapsed="false">
      <c r="A498" s="21" t="s">
        <v>129</v>
      </c>
      <c r="B498" s="15" t="s">
        <v>882</v>
      </c>
      <c r="C498" s="15" t="s">
        <v>170</v>
      </c>
      <c r="D498" s="15" t="s">
        <v>886</v>
      </c>
      <c r="E498" s="35" t="n">
        <v>173900</v>
      </c>
      <c r="F498" s="35" t="n">
        <v>0</v>
      </c>
      <c r="G498" s="35" t="n">
        <v>11139352</v>
      </c>
      <c r="H498" s="36" t="s">
        <v>187</v>
      </c>
    </row>
    <row r="499" customFormat="false" ht="17.15" hidden="false" customHeight="false" outlineLevel="0" collapsed="false">
      <c r="A499" s="21" t="s">
        <v>129</v>
      </c>
      <c r="B499" s="15" t="s">
        <v>887</v>
      </c>
      <c r="C499" s="15" t="s">
        <v>170</v>
      </c>
      <c r="D499" s="15" t="s">
        <v>888</v>
      </c>
      <c r="E499" s="35" t="n">
        <v>175000</v>
      </c>
      <c r="F499" s="35" t="n">
        <v>0</v>
      </c>
      <c r="G499" s="35" t="n">
        <v>11313252</v>
      </c>
      <c r="H499" s="36" t="s">
        <v>187</v>
      </c>
    </row>
    <row r="500" customFormat="false" ht="17.15" hidden="false" customHeight="false" outlineLevel="0" collapsed="false">
      <c r="A500" s="30" t="s">
        <v>129</v>
      </c>
      <c r="B500" s="29" t="s">
        <v>889</v>
      </c>
      <c r="C500" s="30" t="s">
        <v>131</v>
      </c>
      <c r="D500" s="30" t="s">
        <v>465</v>
      </c>
      <c r="E500" s="33" t="n">
        <v>0</v>
      </c>
      <c r="F500" s="33" t="n">
        <v>890010</v>
      </c>
      <c r="G500" s="33" t="n">
        <v>11488252</v>
      </c>
      <c r="H500" s="34" t="s">
        <v>132</v>
      </c>
    </row>
    <row r="501" customFormat="false" ht="17.15" hidden="false" customHeight="false" outlineLevel="0" collapsed="false">
      <c r="A501" s="30" t="s">
        <v>129</v>
      </c>
      <c r="B501" s="29" t="s">
        <v>890</v>
      </c>
      <c r="C501" s="30" t="s">
        <v>131</v>
      </c>
      <c r="D501" s="30" t="s">
        <v>891</v>
      </c>
      <c r="E501" s="33" t="n">
        <v>0</v>
      </c>
      <c r="F501" s="33" t="n">
        <v>790</v>
      </c>
      <c r="G501" s="33" t="n">
        <v>10598242</v>
      </c>
      <c r="H501" s="34" t="s">
        <v>132</v>
      </c>
    </row>
    <row r="502" customFormat="false" ht="17.15" hidden="false" customHeight="false" outlineLevel="0" collapsed="false">
      <c r="A502" s="30" t="s">
        <v>129</v>
      </c>
      <c r="B502" s="29" t="s">
        <v>892</v>
      </c>
      <c r="C502" s="30" t="s">
        <v>226</v>
      </c>
      <c r="D502" s="30" t="s">
        <v>617</v>
      </c>
      <c r="E502" s="33" t="n">
        <v>30000000</v>
      </c>
      <c r="F502" s="33" t="n">
        <v>0</v>
      </c>
      <c r="G502" s="33" t="n">
        <v>10597452</v>
      </c>
      <c r="H502" s="34" t="s">
        <v>454</v>
      </c>
    </row>
    <row r="503" customFormat="false" ht="17.15" hidden="false" customHeight="false" outlineLevel="0" collapsed="false">
      <c r="A503" s="30" t="s">
        <v>129</v>
      </c>
      <c r="B503" s="29" t="s">
        <v>893</v>
      </c>
      <c r="C503" s="30" t="s">
        <v>131</v>
      </c>
      <c r="D503" s="29" t="s">
        <v>54</v>
      </c>
      <c r="E503" s="33" t="n">
        <v>0</v>
      </c>
      <c r="F503" s="33" t="n">
        <v>35701248</v>
      </c>
      <c r="G503" s="33" t="n">
        <v>40597452</v>
      </c>
      <c r="H503" s="34" t="s">
        <v>132</v>
      </c>
    </row>
    <row r="504" customFormat="false" ht="17.15" hidden="false" customHeight="false" outlineLevel="0" collapsed="false">
      <c r="A504" s="21" t="s">
        <v>129</v>
      </c>
      <c r="B504" s="15" t="s">
        <v>894</v>
      </c>
      <c r="C504" s="21" t="s">
        <v>206</v>
      </c>
      <c r="D504" s="21" t="s">
        <v>207</v>
      </c>
      <c r="E504" s="35" t="n">
        <v>731440</v>
      </c>
      <c r="F504" s="35" t="n">
        <v>0</v>
      </c>
      <c r="G504" s="35" t="n">
        <v>4896204</v>
      </c>
      <c r="H504" s="36" t="s">
        <v>208</v>
      </c>
    </row>
    <row r="505" customFormat="false" ht="17.15" hidden="false" customHeight="false" outlineLevel="0" collapsed="false">
      <c r="A505" s="30" t="s">
        <v>129</v>
      </c>
      <c r="B505" s="29" t="s">
        <v>895</v>
      </c>
      <c r="C505" s="30" t="s">
        <v>226</v>
      </c>
      <c r="D505" s="30" t="s">
        <v>617</v>
      </c>
      <c r="E505" s="33" t="n">
        <v>30000000</v>
      </c>
      <c r="F505" s="33" t="n">
        <v>0</v>
      </c>
      <c r="G505" s="33" t="n">
        <v>5627644</v>
      </c>
      <c r="H505" s="34" t="s">
        <v>454</v>
      </c>
    </row>
    <row r="506" customFormat="false" ht="17.15" hidden="false" customHeight="false" outlineLevel="0" collapsed="false">
      <c r="A506" s="21" t="s">
        <v>129</v>
      </c>
      <c r="B506" s="15" t="s">
        <v>896</v>
      </c>
      <c r="C506" s="15" t="s">
        <v>170</v>
      </c>
      <c r="D506" s="21" t="s">
        <v>897</v>
      </c>
      <c r="E506" s="35" t="n">
        <v>29700</v>
      </c>
      <c r="F506" s="35" t="n">
        <v>0</v>
      </c>
      <c r="G506" s="35" t="n">
        <v>35627644</v>
      </c>
      <c r="H506" s="36" t="s">
        <v>212</v>
      </c>
    </row>
    <row r="507" customFormat="false" ht="17.15" hidden="false" customHeight="false" outlineLevel="0" collapsed="false">
      <c r="A507" s="21" t="s">
        <v>129</v>
      </c>
      <c r="B507" s="15" t="s">
        <v>896</v>
      </c>
      <c r="C507" s="15" t="s">
        <v>170</v>
      </c>
      <c r="D507" s="21" t="s">
        <v>898</v>
      </c>
      <c r="E507" s="35" t="n">
        <v>57673</v>
      </c>
      <c r="F507" s="35" t="n">
        <v>0</v>
      </c>
      <c r="G507" s="35" t="n">
        <v>35657344</v>
      </c>
      <c r="H507" s="36" t="s">
        <v>212</v>
      </c>
    </row>
    <row r="508" customFormat="false" ht="17.15" hidden="false" customHeight="false" outlineLevel="0" collapsed="false">
      <c r="A508" s="21" t="s">
        <v>129</v>
      </c>
      <c r="B508" s="15" t="s">
        <v>899</v>
      </c>
      <c r="C508" s="21" t="s">
        <v>250</v>
      </c>
      <c r="D508" s="21" t="s">
        <v>805</v>
      </c>
      <c r="E508" s="35" t="n">
        <v>28780</v>
      </c>
      <c r="F508" s="35" t="n">
        <v>0</v>
      </c>
      <c r="G508" s="35" t="n">
        <v>35715017</v>
      </c>
      <c r="H508" s="36" t="s">
        <v>252</v>
      </c>
    </row>
    <row r="509" customFormat="false" ht="17.15" hidden="false" customHeight="false" outlineLevel="0" collapsed="false">
      <c r="A509" s="21" t="s">
        <v>129</v>
      </c>
      <c r="B509" s="15" t="s">
        <v>900</v>
      </c>
      <c r="C509" s="21" t="s">
        <v>250</v>
      </c>
      <c r="D509" s="21" t="s">
        <v>805</v>
      </c>
      <c r="E509" s="35" t="n">
        <v>30300</v>
      </c>
      <c r="F509" s="35" t="n">
        <v>0</v>
      </c>
      <c r="G509" s="35" t="n">
        <v>35743797</v>
      </c>
      <c r="H509" s="36" t="s">
        <v>252</v>
      </c>
    </row>
    <row r="510" customFormat="false" ht="17.15" hidden="false" customHeight="false" outlineLevel="0" collapsed="false">
      <c r="A510" s="21" t="s">
        <v>129</v>
      </c>
      <c r="B510" s="15" t="s">
        <v>900</v>
      </c>
      <c r="C510" s="21" t="s">
        <v>250</v>
      </c>
      <c r="D510" s="21" t="s">
        <v>805</v>
      </c>
      <c r="E510" s="35" t="n">
        <v>19900</v>
      </c>
      <c r="F510" s="35" t="n">
        <v>0</v>
      </c>
      <c r="G510" s="35" t="n">
        <v>35774097</v>
      </c>
      <c r="H510" s="36" t="s">
        <v>252</v>
      </c>
    </row>
    <row r="511" customFormat="false" ht="17.15" hidden="false" customHeight="false" outlineLevel="0" collapsed="false">
      <c r="A511" s="30" t="s">
        <v>129</v>
      </c>
      <c r="B511" s="29" t="s">
        <v>901</v>
      </c>
      <c r="C511" s="30" t="s">
        <v>131</v>
      </c>
      <c r="D511" s="30" t="s">
        <v>60</v>
      </c>
      <c r="E511" s="33" t="n">
        <v>0</v>
      </c>
      <c r="F511" s="33" t="n">
        <v>1605912</v>
      </c>
      <c r="G511" s="33" t="n">
        <v>35793997</v>
      </c>
      <c r="H511" s="34" t="s">
        <v>132</v>
      </c>
    </row>
    <row r="512" customFormat="false" ht="17.15" hidden="false" customHeight="false" outlineLevel="0" collapsed="false">
      <c r="A512" s="21" t="s">
        <v>129</v>
      </c>
      <c r="B512" s="15" t="s">
        <v>902</v>
      </c>
      <c r="C512" s="21" t="s">
        <v>254</v>
      </c>
      <c r="D512" s="21" t="s">
        <v>903</v>
      </c>
      <c r="E512" s="35" t="n">
        <v>47200</v>
      </c>
      <c r="F512" s="35" t="n">
        <v>0</v>
      </c>
      <c r="G512" s="35" t="n">
        <v>34188085</v>
      </c>
      <c r="H512" s="37" t="s">
        <v>176</v>
      </c>
    </row>
    <row r="513" customFormat="false" ht="17.15" hidden="false" customHeight="false" outlineLevel="0" collapsed="false">
      <c r="A513" s="21" t="s">
        <v>129</v>
      </c>
      <c r="B513" s="15" t="s">
        <v>904</v>
      </c>
      <c r="C513" s="21" t="s">
        <v>250</v>
      </c>
      <c r="D513" s="15" t="s">
        <v>905</v>
      </c>
      <c r="E513" s="35" t="n">
        <v>5000</v>
      </c>
      <c r="F513" s="35" t="n">
        <v>0</v>
      </c>
      <c r="G513" s="35" t="n">
        <v>34235285</v>
      </c>
      <c r="H513" s="36" t="s">
        <v>857</v>
      </c>
    </row>
    <row r="514" customFormat="false" ht="17.15" hidden="false" customHeight="false" outlineLevel="0" collapsed="false">
      <c r="A514" s="21" t="s">
        <v>129</v>
      </c>
      <c r="B514" s="15" t="s">
        <v>906</v>
      </c>
      <c r="C514" s="15" t="s">
        <v>170</v>
      </c>
      <c r="D514" s="21" t="s">
        <v>907</v>
      </c>
      <c r="E514" s="35" t="n">
        <v>20000</v>
      </c>
      <c r="F514" s="35" t="n">
        <v>0</v>
      </c>
      <c r="G514" s="35" t="n">
        <v>34240285</v>
      </c>
      <c r="H514" s="36" t="s">
        <v>212</v>
      </c>
    </row>
    <row r="515" customFormat="false" ht="17.15" hidden="false" customHeight="false" outlineLevel="0" collapsed="false">
      <c r="A515" s="30" t="s">
        <v>129</v>
      </c>
      <c r="B515" s="29" t="s">
        <v>908</v>
      </c>
      <c r="C515" s="30" t="s">
        <v>131</v>
      </c>
      <c r="D515" s="30" t="s">
        <v>376</v>
      </c>
      <c r="E515" s="33" t="n">
        <v>0</v>
      </c>
      <c r="F515" s="33" t="n">
        <v>1375000</v>
      </c>
      <c r="G515" s="33" t="n">
        <v>34260285</v>
      </c>
      <c r="H515" s="34" t="s">
        <v>132</v>
      </c>
    </row>
    <row r="516" customFormat="false" ht="17.15" hidden="false" customHeight="false" outlineLevel="0" collapsed="false">
      <c r="A516" s="30" t="s">
        <v>129</v>
      </c>
      <c r="B516" s="29" t="s">
        <v>909</v>
      </c>
      <c r="C516" s="30" t="s">
        <v>131</v>
      </c>
      <c r="D516" s="29" t="s">
        <v>63</v>
      </c>
      <c r="E516" s="33" t="n">
        <v>0</v>
      </c>
      <c r="F516" s="33" t="n">
        <v>846560</v>
      </c>
      <c r="G516" s="33" t="n">
        <v>32885285</v>
      </c>
      <c r="H516" s="34" t="s">
        <v>132</v>
      </c>
    </row>
    <row r="517" customFormat="false" ht="17.15" hidden="false" customHeight="false" outlineLevel="0" collapsed="false">
      <c r="A517" s="30" t="s">
        <v>129</v>
      </c>
      <c r="B517" s="29" t="s">
        <v>910</v>
      </c>
      <c r="C517" s="30" t="s">
        <v>131</v>
      </c>
      <c r="D517" s="30" t="s">
        <v>769</v>
      </c>
      <c r="E517" s="33" t="n">
        <v>0</v>
      </c>
      <c r="F517" s="33" t="n">
        <v>956670</v>
      </c>
      <c r="G517" s="33" t="n">
        <v>32038725</v>
      </c>
      <c r="H517" s="34" t="s">
        <v>132</v>
      </c>
    </row>
    <row r="518" customFormat="false" ht="17.15" hidden="false" customHeight="false" outlineLevel="0" collapsed="false">
      <c r="A518" s="30" t="s">
        <v>129</v>
      </c>
      <c r="B518" s="29" t="s">
        <v>911</v>
      </c>
      <c r="C518" s="30" t="s">
        <v>131</v>
      </c>
      <c r="D518" s="29" t="s">
        <v>55</v>
      </c>
      <c r="E518" s="33" t="n">
        <v>0</v>
      </c>
      <c r="F518" s="33" t="n">
        <v>3134362</v>
      </c>
      <c r="G518" s="33" t="n">
        <v>31082055</v>
      </c>
      <c r="H518" s="34" t="s">
        <v>132</v>
      </c>
    </row>
    <row r="519" customFormat="false" ht="15" hidden="false" customHeight="false" outlineLevel="0" collapsed="false">
      <c r="A519" s="21" t="s">
        <v>129</v>
      </c>
      <c r="B519" s="15" t="s">
        <v>912</v>
      </c>
      <c r="C519" s="21" t="s">
        <v>217</v>
      </c>
      <c r="D519" s="21" t="s">
        <v>913</v>
      </c>
      <c r="E519" s="35" t="n">
        <v>265900</v>
      </c>
      <c r="F519" s="35" t="n">
        <v>0</v>
      </c>
      <c r="G519" s="35" t="n">
        <v>27947693</v>
      </c>
      <c r="H519" s="36" t="s">
        <v>219</v>
      </c>
    </row>
    <row r="520" customFormat="false" ht="15" hidden="false" customHeight="false" outlineLevel="0" collapsed="false">
      <c r="A520" s="21" t="s">
        <v>129</v>
      </c>
      <c r="B520" s="15" t="s">
        <v>912</v>
      </c>
      <c r="C520" s="21" t="s">
        <v>217</v>
      </c>
      <c r="D520" s="21" t="s">
        <v>914</v>
      </c>
      <c r="E520" s="35" t="n">
        <v>8820420</v>
      </c>
      <c r="F520" s="35" t="n">
        <v>0</v>
      </c>
      <c r="G520" s="35" t="n">
        <v>28213593</v>
      </c>
      <c r="H520" s="36" t="s">
        <v>219</v>
      </c>
    </row>
    <row r="521" customFormat="false" ht="17.15" hidden="false" customHeight="false" outlineLevel="0" collapsed="false">
      <c r="A521" s="30" t="s">
        <v>129</v>
      </c>
      <c r="B521" s="29" t="s">
        <v>915</v>
      </c>
      <c r="C521" s="30" t="s">
        <v>131</v>
      </c>
      <c r="D521" s="30" t="s">
        <v>56</v>
      </c>
      <c r="E521" s="33" t="n">
        <v>0</v>
      </c>
      <c r="F521" s="33" t="n">
        <v>1848000</v>
      </c>
      <c r="G521" s="33" t="n">
        <v>37034013</v>
      </c>
      <c r="H521" s="34" t="s">
        <v>132</v>
      </c>
    </row>
    <row r="522" customFormat="false" ht="17.15" hidden="false" customHeight="false" outlineLevel="0" collapsed="false">
      <c r="A522" s="30" t="s">
        <v>129</v>
      </c>
      <c r="B522" s="29" t="s">
        <v>916</v>
      </c>
      <c r="C522" s="30" t="s">
        <v>206</v>
      </c>
      <c r="D522" s="30" t="s">
        <v>917</v>
      </c>
      <c r="E522" s="33" t="n">
        <v>0</v>
      </c>
      <c r="F522" s="33" t="n">
        <v>729300</v>
      </c>
      <c r="G522" s="33" t="n">
        <v>35186013</v>
      </c>
      <c r="H522" s="34" t="s">
        <v>132</v>
      </c>
    </row>
    <row r="523" customFormat="false" ht="17.15" hidden="false" customHeight="false" outlineLevel="0" collapsed="false">
      <c r="A523" s="30" t="s">
        <v>129</v>
      </c>
      <c r="B523" s="29" t="s">
        <v>918</v>
      </c>
      <c r="C523" s="30" t="s">
        <v>131</v>
      </c>
      <c r="D523" s="29" t="s">
        <v>67</v>
      </c>
      <c r="E523" s="33" t="n">
        <v>0</v>
      </c>
      <c r="F523" s="33" t="n">
        <v>482240</v>
      </c>
      <c r="G523" s="33" t="n">
        <v>34456713</v>
      </c>
      <c r="H523" s="34" t="s">
        <v>132</v>
      </c>
    </row>
    <row r="524" customFormat="false" ht="17.15" hidden="false" customHeight="false" outlineLevel="0" collapsed="false">
      <c r="A524" s="30" t="s">
        <v>129</v>
      </c>
      <c r="B524" s="29" t="s">
        <v>919</v>
      </c>
      <c r="C524" s="30" t="s">
        <v>131</v>
      </c>
      <c r="D524" s="30" t="s">
        <v>311</v>
      </c>
      <c r="E524" s="33" t="n">
        <v>0</v>
      </c>
      <c r="F524" s="33" t="n">
        <v>2773760</v>
      </c>
      <c r="G524" s="33" t="n">
        <v>33974473</v>
      </c>
      <c r="H524" s="34" t="s">
        <v>132</v>
      </c>
    </row>
    <row r="525" customFormat="false" ht="17.15" hidden="false" customHeight="false" outlineLevel="0" collapsed="false">
      <c r="A525" s="30" t="s">
        <v>129</v>
      </c>
      <c r="B525" s="29" t="s">
        <v>920</v>
      </c>
      <c r="C525" s="30" t="s">
        <v>131</v>
      </c>
      <c r="D525" s="30" t="s">
        <v>633</v>
      </c>
      <c r="E525" s="33" t="n">
        <v>0</v>
      </c>
      <c r="F525" s="33" t="n">
        <v>550000</v>
      </c>
      <c r="G525" s="33" t="n">
        <v>31200713</v>
      </c>
      <c r="H525" s="34" t="s">
        <v>132</v>
      </c>
    </row>
    <row r="526" customFormat="false" ht="17.15" hidden="false" customHeight="false" outlineLevel="0" collapsed="false">
      <c r="A526" s="30" t="s">
        <v>129</v>
      </c>
      <c r="B526" s="29" t="s">
        <v>921</v>
      </c>
      <c r="C526" s="30" t="s">
        <v>226</v>
      </c>
      <c r="D526" s="30" t="s">
        <v>617</v>
      </c>
      <c r="E526" s="33" t="n">
        <v>10000000</v>
      </c>
      <c r="F526" s="33" t="n">
        <v>0</v>
      </c>
      <c r="G526" s="33" t="n">
        <v>30650713</v>
      </c>
      <c r="H526" s="34" t="s">
        <v>454</v>
      </c>
    </row>
    <row r="527" customFormat="false" ht="15" hidden="false" customHeight="false" outlineLevel="0" collapsed="false">
      <c r="A527" s="21" t="s">
        <v>129</v>
      </c>
      <c r="B527" s="15" t="s">
        <v>922</v>
      </c>
      <c r="C527" s="21" t="s">
        <v>163</v>
      </c>
      <c r="D527" s="15" t="s">
        <v>923</v>
      </c>
      <c r="E527" s="35" t="n">
        <v>91610</v>
      </c>
      <c r="F527" s="35" t="n">
        <v>0</v>
      </c>
      <c r="G527" s="35" t="n">
        <v>40650713</v>
      </c>
      <c r="H527" s="36" t="s">
        <v>165</v>
      </c>
    </row>
    <row r="528" customFormat="false" ht="17.15" hidden="false" customHeight="false" outlineLevel="0" collapsed="false">
      <c r="A528" s="30" t="s">
        <v>129</v>
      </c>
      <c r="B528" s="29" t="s">
        <v>924</v>
      </c>
      <c r="C528" s="30" t="s">
        <v>131</v>
      </c>
      <c r="D528" s="29" t="s">
        <v>66</v>
      </c>
      <c r="E528" s="33" t="n">
        <v>0</v>
      </c>
      <c r="F528" s="33" t="n">
        <v>169125</v>
      </c>
      <c r="G528" s="33" t="n">
        <v>40742323</v>
      </c>
      <c r="H528" s="34" t="s">
        <v>132</v>
      </c>
    </row>
    <row r="529" customFormat="false" ht="17.15" hidden="false" customHeight="false" outlineLevel="0" collapsed="false">
      <c r="A529" s="21" t="s">
        <v>129</v>
      </c>
      <c r="B529" s="15" t="s">
        <v>925</v>
      </c>
      <c r="C529" s="15" t="s">
        <v>170</v>
      </c>
      <c r="D529" s="21" t="s">
        <v>926</v>
      </c>
      <c r="E529" s="35" t="n">
        <v>250000</v>
      </c>
      <c r="F529" s="35" t="n">
        <v>0</v>
      </c>
      <c r="G529" s="35" t="n">
        <v>40573198</v>
      </c>
      <c r="H529" s="36" t="s">
        <v>172</v>
      </c>
    </row>
    <row r="530" customFormat="false" ht="17.15" hidden="false" customHeight="false" outlineLevel="0" collapsed="false">
      <c r="A530" s="21" t="s">
        <v>129</v>
      </c>
      <c r="B530" s="15" t="s">
        <v>927</v>
      </c>
      <c r="C530" s="15" t="s">
        <v>174</v>
      </c>
      <c r="D530" s="15" t="s">
        <v>175</v>
      </c>
      <c r="E530" s="35" t="n">
        <v>121000</v>
      </c>
      <c r="F530" s="35" t="n">
        <v>0</v>
      </c>
      <c r="G530" s="35" t="n">
        <v>40823198</v>
      </c>
      <c r="H530" s="37" t="s">
        <v>176</v>
      </c>
    </row>
    <row r="531" customFormat="false" ht="15" hidden="false" customHeight="false" outlineLevel="0" collapsed="false">
      <c r="A531" s="21" t="s">
        <v>129</v>
      </c>
      <c r="B531" s="15" t="s">
        <v>928</v>
      </c>
      <c r="C531" s="21" t="s">
        <v>163</v>
      </c>
      <c r="D531" s="15" t="s">
        <v>929</v>
      </c>
      <c r="E531" s="35" t="n">
        <v>73230</v>
      </c>
      <c r="F531" s="35" t="n">
        <v>0</v>
      </c>
      <c r="G531" s="35" t="n">
        <v>40944198</v>
      </c>
      <c r="H531" s="36" t="s">
        <v>165</v>
      </c>
    </row>
    <row r="532" customFormat="false" ht="15" hidden="false" customHeight="false" outlineLevel="0" collapsed="false">
      <c r="A532" s="21" t="s">
        <v>129</v>
      </c>
      <c r="B532" s="15" t="s">
        <v>930</v>
      </c>
      <c r="C532" s="21" t="s">
        <v>163</v>
      </c>
      <c r="D532" s="15" t="s">
        <v>931</v>
      </c>
      <c r="E532" s="35" t="n">
        <v>5660</v>
      </c>
      <c r="F532" s="35" t="n">
        <v>0</v>
      </c>
      <c r="G532" s="35" t="n">
        <v>41017428</v>
      </c>
      <c r="H532" s="36" t="s">
        <v>165</v>
      </c>
    </row>
    <row r="533" customFormat="false" ht="15" hidden="false" customHeight="false" outlineLevel="0" collapsed="false">
      <c r="A533" s="21" t="s">
        <v>129</v>
      </c>
      <c r="B533" s="15" t="s">
        <v>932</v>
      </c>
      <c r="C533" s="21" t="s">
        <v>182</v>
      </c>
      <c r="D533" s="21" t="s">
        <v>183</v>
      </c>
      <c r="E533" s="35" t="n">
        <v>656300</v>
      </c>
      <c r="F533" s="35" t="n">
        <v>0</v>
      </c>
      <c r="G533" s="35" t="n">
        <v>41023088</v>
      </c>
      <c r="H533" s="36" t="s">
        <v>184</v>
      </c>
    </row>
    <row r="534" customFormat="false" ht="17.15" hidden="false" customHeight="false" outlineLevel="0" collapsed="false">
      <c r="A534" s="30" t="s">
        <v>129</v>
      </c>
      <c r="B534" s="29" t="s">
        <v>933</v>
      </c>
      <c r="C534" s="30" t="s">
        <v>131</v>
      </c>
      <c r="D534" s="29" t="s">
        <v>934</v>
      </c>
      <c r="E534" s="33" t="n">
        <v>0</v>
      </c>
      <c r="F534" s="33" t="n">
        <v>1048410</v>
      </c>
      <c r="G534" s="33" t="n">
        <v>41679388</v>
      </c>
      <c r="H534" s="34" t="s">
        <v>132</v>
      </c>
    </row>
    <row r="535" customFormat="false" ht="17.15" hidden="false" customHeight="false" outlineLevel="0" collapsed="false">
      <c r="A535" s="21" t="s">
        <v>129</v>
      </c>
      <c r="B535" s="15" t="s">
        <v>935</v>
      </c>
      <c r="C535" s="15" t="s">
        <v>170</v>
      </c>
      <c r="D535" s="15" t="s">
        <v>936</v>
      </c>
      <c r="E535" s="35" t="n">
        <v>173900</v>
      </c>
      <c r="F535" s="35" t="n">
        <v>0</v>
      </c>
      <c r="G535" s="35" t="n">
        <v>40630978</v>
      </c>
      <c r="H535" s="36" t="s">
        <v>187</v>
      </c>
    </row>
    <row r="536" customFormat="false" ht="17.15" hidden="false" customHeight="false" outlineLevel="0" collapsed="false">
      <c r="A536" s="21" t="s">
        <v>129</v>
      </c>
      <c r="B536" s="15" t="s">
        <v>935</v>
      </c>
      <c r="C536" s="15" t="s">
        <v>170</v>
      </c>
      <c r="D536" s="15" t="s">
        <v>937</v>
      </c>
      <c r="E536" s="35" t="n">
        <v>173900</v>
      </c>
      <c r="F536" s="35" t="n">
        <v>0</v>
      </c>
      <c r="G536" s="35" t="n">
        <v>40804878</v>
      </c>
      <c r="H536" s="36" t="s">
        <v>187</v>
      </c>
    </row>
    <row r="537" customFormat="false" ht="17.15" hidden="false" customHeight="false" outlineLevel="0" collapsed="false">
      <c r="A537" s="21" t="s">
        <v>129</v>
      </c>
      <c r="B537" s="15" t="s">
        <v>935</v>
      </c>
      <c r="C537" s="15" t="s">
        <v>170</v>
      </c>
      <c r="D537" s="15" t="s">
        <v>938</v>
      </c>
      <c r="E537" s="35" t="n">
        <v>173900</v>
      </c>
      <c r="F537" s="35" t="n">
        <v>0</v>
      </c>
      <c r="G537" s="35" t="n">
        <v>40978778</v>
      </c>
      <c r="H537" s="36" t="s">
        <v>187</v>
      </c>
    </row>
    <row r="538" customFormat="false" ht="17.15" hidden="false" customHeight="false" outlineLevel="0" collapsed="false">
      <c r="A538" s="21" t="s">
        <v>129</v>
      </c>
      <c r="B538" s="15" t="s">
        <v>935</v>
      </c>
      <c r="C538" s="15" t="s">
        <v>170</v>
      </c>
      <c r="D538" s="15" t="s">
        <v>939</v>
      </c>
      <c r="E538" s="35" t="n">
        <v>173900</v>
      </c>
      <c r="F538" s="35" t="n">
        <v>0</v>
      </c>
      <c r="G538" s="35" t="n">
        <v>41152678</v>
      </c>
      <c r="H538" s="36" t="s">
        <v>187</v>
      </c>
    </row>
    <row r="539" customFormat="false" ht="17.15" hidden="false" customHeight="false" outlineLevel="0" collapsed="false">
      <c r="A539" s="21" t="s">
        <v>129</v>
      </c>
      <c r="B539" s="15" t="s">
        <v>940</v>
      </c>
      <c r="C539" s="15" t="s">
        <v>170</v>
      </c>
      <c r="D539" s="15" t="s">
        <v>941</v>
      </c>
      <c r="E539" s="35" t="n">
        <v>175000</v>
      </c>
      <c r="F539" s="35" t="n">
        <v>0</v>
      </c>
      <c r="G539" s="35" t="n">
        <v>41326578</v>
      </c>
      <c r="H539" s="36" t="s">
        <v>187</v>
      </c>
    </row>
    <row r="540" customFormat="false" ht="17.15" hidden="false" customHeight="false" outlineLevel="0" collapsed="false">
      <c r="A540" s="30" t="s">
        <v>129</v>
      </c>
      <c r="B540" s="29" t="s">
        <v>942</v>
      </c>
      <c r="C540" s="30" t="s">
        <v>441</v>
      </c>
      <c r="D540" s="29" t="s">
        <v>943</v>
      </c>
      <c r="E540" s="33" t="n">
        <v>0</v>
      </c>
      <c r="F540" s="33" t="n">
        <v>10267</v>
      </c>
      <c r="G540" s="33" t="n">
        <v>41501578</v>
      </c>
      <c r="H540" s="34" t="s">
        <v>443</v>
      </c>
    </row>
    <row r="541" customFormat="false" ht="17.15" hidden="false" customHeight="false" outlineLevel="0" collapsed="false">
      <c r="A541" s="21" t="s">
        <v>129</v>
      </c>
      <c r="B541" s="15" t="s">
        <v>944</v>
      </c>
      <c r="C541" s="21" t="s">
        <v>206</v>
      </c>
      <c r="D541" s="21" t="s">
        <v>945</v>
      </c>
      <c r="E541" s="35" t="n">
        <v>442428</v>
      </c>
      <c r="F541" s="35" t="n">
        <v>0</v>
      </c>
      <c r="G541" s="35" t="n">
        <v>41491311</v>
      </c>
      <c r="H541" s="36" t="s">
        <v>494</v>
      </c>
    </row>
    <row r="542" customFormat="false" ht="17.15" hidden="false" customHeight="false" outlineLevel="0" collapsed="false">
      <c r="A542" s="30" t="s">
        <v>129</v>
      </c>
      <c r="B542" s="29" t="s">
        <v>946</v>
      </c>
      <c r="C542" s="30" t="s">
        <v>131</v>
      </c>
      <c r="D542" s="29" t="s">
        <v>54</v>
      </c>
      <c r="E542" s="33" t="n">
        <v>0</v>
      </c>
      <c r="F542" s="33" t="n">
        <v>31296353</v>
      </c>
      <c r="G542" s="33" t="n">
        <v>41933739</v>
      </c>
      <c r="H542" s="34" t="s">
        <v>132</v>
      </c>
    </row>
    <row r="543" customFormat="false" ht="17.15" hidden="false" customHeight="false" outlineLevel="0" collapsed="false">
      <c r="A543" s="30" t="s">
        <v>129</v>
      </c>
      <c r="B543" s="29" t="s">
        <v>947</v>
      </c>
      <c r="C543" s="30" t="s">
        <v>131</v>
      </c>
      <c r="D543" s="30" t="s">
        <v>57</v>
      </c>
      <c r="E543" s="33" t="n">
        <v>0</v>
      </c>
      <c r="F543" s="33" t="n">
        <v>2213255</v>
      </c>
      <c r="G543" s="33" t="n">
        <v>10637386</v>
      </c>
      <c r="H543" s="34" t="s">
        <v>132</v>
      </c>
    </row>
    <row r="544" customFormat="false" ht="17.15" hidden="false" customHeight="false" outlineLevel="0" collapsed="false">
      <c r="A544" s="21" t="s">
        <v>129</v>
      </c>
      <c r="B544" s="15" t="s">
        <v>948</v>
      </c>
      <c r="C544" s="21" t="s">
        <v>206</v>
      </c>
      <c r="D544" s="21" t="s">
        <v>207</v>
      </c>
      <c r="E544" s="35" t="n">
        <v>731440</v>
      </c>
      <c r="F544" s="35" t="n">
        <v>0</v>
      </c>
      <c r="G544" s="35" t="n">
        <v>8424131</v>
      </c>
      <c r="H544" s="36" t="s">
        <v>208</v>
      </c>
    </row>
    <row r="545" customFormat="false" ht="17.15" hidden="false" customHeight="false" outlineLevel="0" collapsed="false">
      <c r="A545" s="21" t="s">
        <v>129</v>
      </c>
      <c r="B545" s="15" t="s">
        <v>949</v>
      </c>
      <c r="C545" s="15" t="s">
        <v>170</v>
      </c>
      <c r="D545" s="21" t="s">
        <v>950</v>
      </c>
      <c r="E545" s="35" t="n">
        <v>29700</v>
      </c>
      <c r="F545" s="35" t="n">
        <v>0</v>
      </c>
      <c r="G545" s="35" t="n">
        <v>9155571</v>
      </c>
      <c r="H545" s="36" t="s">
        <v>212</v>
      </c>
    </row>
    <row r="546" customFormat="false" ht="17.15" hidden="false" customHeight="false" outlineLevel="0" collapsed="false">
      <c r="A546" s="21" t="s">
        <v>129</v>
      </c>
      <c r="B546" s="15" t="s">
        <v>949</v>
      </c>
      <c r="C546" s="15" t="s">
        <v>170</v>
      </c>
      <c r="D546" s="21" t="s">
        <v>951</v>
      </c>
      <c r="E546" s="35" t="n">
        <v>57673</v>
      </c>
      <c r="F546" s="35" t="n">
        <v>0</v>
      </c>
      <c r="G546" s="35" t="n">
        <v>9185271</v>
      </c>
      <c r="H546" s="36" t="s">
        <v>212</v>
      </c>
    </row>
    <row r="547" customFormat="false" ht="17.15" hidden="false" customHeight="false" outlineLevel="0" collapsed="false">
      <c r="A547" s="30" t="s">
        <v>129</v>
      </c>
      <c r="B547" s="29" t="s">
        <v>952</v>
      </c>
      <c r="C547" s="30" t="s">
        <v>131</v>
      </c>
      <c r="D547" s="30" t="s">
        <v>953</v>
      </c>
      <c r="E547" s="33" t="n">
        <v>0</v>
      </c>
      <c r="F547" s="33" t="n">
        <v>559504</v>
      </c>
      <c r="G547" s="33" t="n">
        <v>9242944</v>
      </c>
      <c r="H547" s="34" t="s">
        <v>132</v>
      </c>
    </row>
    <row r="548" customFormat="false" ht="17.15" hidden="false" customHeight="false" outlineLevel="0" collapsed="false">
      <c r="A548" s="30" t="s">
        <v>129</v>
      </c>
      <c r="B548" s="29" t="s">
        <v>954</v>
      </c>
      <c r="C548" s="30" t="s">
        <v>206</v>
      </c>
      <c r="D548" s="30" t="s">
        <v>955</v>
      </c>
      <c r="E548" s="33" t="n">
        <v>0</v>
      </c>
      <c r="F548" s="33" t="n">
        <v>571230</v>
      </c>
      <c r="G548" s="33" t="n">
        <v>8683440</v>
      </c>
      <c r="H548" s="34" t="s">
        <v>132</v>
      </c>
    </row>
    <row r="549" customFormat="false" ht="17.15" hidden="false" customHeight="false" outlineLevel="0" collapsed="false">
      <c r="A549" s="21" t="s">
        <v>129</v>
      </c>
      <c r="B549" s="15" t="s">
        <v>956</v>
      </c>
      <c r="C549" s="21" t="s">
        <v>250</v>
      </c>
      <c r="D549" s="21" t="s">
        <v>251</v>
      </c>
      <c r="E549" s="35" t="n">
        <v>28780</v>
      </c>
      <c r="F549" s="35" t="n">
        <v>0</v>
      </c>
      <c r="G549" s="35" t="n">
        <v>8112210</v>
      </c>
      <c r="H549" s="36" t="s">
        <v>252</v>
      </c>
    </row>
    <row r="550" customFormat="false" ht="17.15" hidden="false" customHeight="false" outlineLevel="0" collapsed="false">
      <c r="A550" s="21" t="s">
        <v>129</v>
      </c>
      <c r="B550" s="15" t="s">
        <v>956</v>
      </c>
      <c r="C550" s="21" t="s">
        <v>250</v>
      </c>
      <c r="D550" s="21" t="s">
        <v>251</v>
      </c>
      <c r="E550" s="35" t="n">
        <v>30300</v>
      </c>
      <c r="F550" s="35" t="n">
        <v>0</v>
      </c>
      <c r="G550" s="35" t="n">
        <v>8140990</v>
      </c>
      <c r="H550" s="36" t="s">
        <v>252</v>
      </c>
    </row>
    <row r="551" customFormat="false" ht="17.15" hidden="false" customHeight="false" outlineLevel="0" collapsed="false">
      <c r="A551" s="21" t="s">
        <v>129</v>
      </c>
      <c r="B551" s="15" t="s">
        <v>956</v>
      </c>
      <c r="C551" s="21" t="s">
        <v>250</v>
      </c>
      <c r="D551" s="21" t="s">
        <v>251</v>
      </c>
      <c r="E551" s="35" t="n">
        <v>19900</v>
      </c>
      <c r="F551" s="35" t="n">
        <v>0</v>
      </c>
      <c r="G551" s="35" t="n">
        <v>8171290</v>
      </c>
      <c r="H551" s="36" t="s">
        <v>252</v>
      </c>
    </row>
    <row r="552" customFormat="false" ht="17.15" hidden="false" customHeight="false" outlineLevel="0" collapsed="false">
      <c r="A552" s="30" t="s">
        <v>129</v>
      </c>
      <c r="B552" s="29" t="s">
        <v>957</v>
      </c>
      <c r="C552" s="30" t="s">
        <v>131</v>
      </c>
      <c r="D552" s="30" t="s">
        <v>465</v>
      </c>
      <c r="E552" s="33" t="n">
        <v>0</v>
      </c>
      <c r="F552" s="33" t="n">
        <v>1059300</v>
      </c>
      <c r="G552" s="33" t="n">
        <v>8191190</v>
      </c>
      <c r="H552" s="34" t="s">
        <v>132</v>
      </c>
    </row>
    <row r="553" customFormat="false" ht="17.15" hidden="false" customHeight="false" outlineLevel="0" collapsed="false">
      <c r="A553" s="21" t="s">
        <v>129</v>
      </c>
      <c r="B553" s="15" t="s">
        <v>958</v>
      </c>
      <c r="C553" s="21" t="s">
        <v>254</v>
      </c>
      <c r="D553" s="21" t="s">
        <v>959</v>
      </c>
      <c r="E553" s="35" t="n">
        <v>47200</v>
      </c>
      <c r="F553" s="35" t="n">
        <v>0</v>
      </c>
      <c r="G553" s="35" t="n">
        <v>7131890</v>
      </c>
      <c r="H553" s="37" t="s">
        <v>176</v>
      </c>
    </row>
    <row r="554" customFormat="false" ht="17.15" hidden="false" customHeight="false" outlineLevel="0" collapsed="false">
      <c r="A554" s="21" t="s">
        <v>129</v>
      </c>
      <c r="B554" s="15" t="s">
        <v>960</v>
      </c>
      <c r="C554" s="21" t="s">
        <v>250</v>
      </c>
      <c r="D554" s="15" t="s">
        <v>961</v>
      </c>
      <c r="E554" s="35" t="n">
        <v>5000</v>
      </c>
      <c r="F554" s="35" t="n">
        <v>0</v>
      </c>
      <c r="G554" s="35" t="n">
        <v>7179090</v>
      </c>
      <c r="H554" s="36" t="s">
        <v>857</v>
      </c>
    </row>
    <row r="555" customFormat="false" ht="17.15" hidden="false" customHeight="false" outlineLevel="0" collapsed="false">
      <c r="A555" s="21" t="s">
        <v>129</v>
      </c>
      <c r="B555" s="15" t="s">
        <v>962</v>
      </c>
      <c r="C555" s="15" t="s">
        <v>170</v>
      </c>
      <c r="D555" s="21" t="s">
        <v>963</v>
      </c>
      <c r="E555" s="35" t="n">
        <v>20000</v>
      </c>
      <c r="F555" s="35" t="n">
        <v>0</v>
      </c>
      <c r="G555" s="35" t="n">
        <v>7184090</v>
      </c>
      <c r="H555" s="36" t="s">
        <v>212</v>
      </c>
    </row>
    <row r="556" customFormat="false" ht="17.15" hidden="false" customHeight="false" outlineLevel="0" collapsed="false">
      <c r="A556" s="30" t="s">
        <v>129</v>
      </c>
      <c r="B556" s="29" t="s">
        <v>964</v>
      </c>
      <c r="C556" s="30" t="s">
        <v>131</v>
      </c>
      <c r="D556" s="29" t="s">
        <v>965</v>
      </c>
      <c r="E556" s="33" t="n">
        <v>0</v>
      </c>
      <c r="F556" s="33" t="n">
        <v>475750</v>
      </c>
      <c r="G556" s="33" t="n">
        <v>7204090</v>
      </c>
      <c r="H556" s="34" t="s">
        <v>132</v>
      </c>
    </row>
    <row r="557" customFormat="false" ht="17.15" hidden="false" customHeight="false" outlineLevel="0" collapsed="false">
      <c r="A557" s="30" t="s">
        <v>129</v>
      </c>
      <c r="B557" s="29" t="s">
        <v>966</v>
      </c>
      <c r="C557" s="30" t="s">
        <v>131</v>
      </c>
      <c r="D557" s="30" t="s">
        <v>967</v>
      </c>
      <c r="E557" s="33" t="n">
        <v>0</v>
      </c>
      <c r="F557" s="33" t="n">
        <v>319000</v>
      </c>
      <c r="G557" s="33" t="n">
        <v>6728340</v>
      </c>
      <c r="H557" s="34" t="s">
        <v>132</v>
      </c>
    </row>
    <row r="558" customFormat="false" ht="17.15" hidden="false" customHeight="false" outlineLevel="0" collapsed="false">
      <c r="A558" s="21" t="s">
        <v>968</v>
      </c>
      <c r="B558" s="15" t="s">
        <v>969</v>
      </c>
      <c r="C558" s="21" t="s">
        <v>970</v>
      </c>
      <c r="D558" s="15" t="s">
        <v>971</v>
      </c>
      <c r="E558" s="35" t="n">
        <v>102000</v>
      </c>
      <c r="F558" s="35" t="n">
        <v>0</v>
      </c>
      <c r="G558" s="35" t="n">
        <v>19616417</v>
      </c>
      <c r="H558" s="36" t="s">
        <v>972</v>
      </c>
    </row>
    <row r="559" customFormat="false" ht="17.15" hidden="false" customHeight="false" outlineLevel="0" collapsed="false">
      <c r="A559" s="21" t="s">
        <v>968</v>
      </c>
      <c r="B559" s="15" t="s">
        <v>973</v>
      </c>
      <c r="C559" s="21" t="s">
        <v>974</v>
      </c>
      <c r="D559" s="21" t="s">
        <v>975</v>
      </c>
      <c r="E559" s="35" t="n">
        <v>33000</v>
      </c>
      <c r="F559" s="35" t="n">
        <v>0</v>
      </c>
      <c r="G559" s="35" t="n">
        <v>19718417</v>
      </c>
      <c r="H559" s="37" t="s">
        <v>176</v>
      </c>
    </row>
    <row r="560" customFormat="false" ht="17.15" hidden="false" customHeight="false" outlineLevel="0" collapsed="false">
      <c r="A560" s="21" t="s">
        <v>968</v>
      </c>
      <c r="B560" s="15" t="s">
        <v>973</v>
      </c>
      <c r="C560" s="21" t="s">
        <v>974</v>
      </c>
      <c r="D560" s="21" t="s">
        <v>976</v>
      </c>
      <c r="E560" s="35" t="n">
        <v>264000</v>
      </c>
      <c r="F560" s="35" t="n">
        <v>0</v>
      </c>
      <c r="G560" s="35" t="n">
        <v>19751417</v>
      </c>
      <c r="H560" s="37" t="s">
        <v>176</v>
      </c>
    </row>
    <row r="561" customFormat="false" ht="17.15" hidden="false" customHeight="false" outlineLevel="0" collapsed="false">
      <c r="A561" s="21" t="s">
        <v>968</v>
      </c>
      <c r="B561" s="15" t="s">
        <v>973</v>
      </c>
      <c r="C561" s="21" t="s">
        <v>974</v>
      </c>
      <c r="D561" s="21" t="s">
        <v>977</v>
      </c>
      <c r="E561" s="35" t="n">
        <v>110000</v>
      </c>
      <c r="F561" s="35" t="n">
        <v>0</v>
      </c>
      <c r="G561" s="35" t="n">
        <v>20015417</v>
      </c>
      <c r="H561" s="37" t="s">
        <v>176</v>
      </c>
    </row>
    <row r="562" customFormat="false" ht="17.15" hidden="false" customHeight="false" outlineLevel="0" collapsed="false">
      <c r="A562" s="21" t="s">
        <v>968</v>
      </c>
      <c r="B562" s="15" t="s">
        <v>973</v>
      </c>
      <c r="C562" s="21" t="s">
        <v>974</v>
      </c>
      <c r="D562" s="21" t="s">
        <v>978</v>
      </c>
      <c r="E562" s="35" t="n">
        <v>110000</v>
      </c>
      <c r="F562" s="35" t="n">
        <v>0</v>
      </c>
      <c r="G562" s="35" t="n">
        <v>20125417</v>
      </c>
      <c r="H562" s="37" t="s">
        <v>176</v>
      </c>
    </row>
    <row r="563" customFormat="false" ht="15" hidden="false" customHeight="false" outlineLevel="0" collapsed="false">
      <c r="A563" s="21" t="s">
        <v>968</v>
      </c>
      <c r="B563" s="15" t="s">
        <v>979</v>
      </c>
      <c r="C563" s="21" t="s">
        <v>980</v>
      </c>
      <c r="D563" s="15" t="s">
        <v>981</v>
      </c>
      <c r="E563" s="35" t="n">
        <v>5001871</v>
      </c>
      <c r="F563" s="35" t="n">
        <v>0</v>
      </c>
      <c r="G563" s="35" t="n">
        <v>20235417</v>
      </c>
      <c r="H563" s="36" t="s">
        <v>198</v>
      </c>
    </row>
    <row r="564" customFormat="false" ht="15" hidden="false" customHeight="false" outlineLevel="0" collapsed="false">
      <c r="A564" s="21" t="s">
        <v>968</v>
      </c>
      <c r="B564" s="15" t="s">
        <v>979</v>
      </c>
      <c r="C564" s="21" t="s">
        <v>980</v>
      </c>
      <c r="D564" s="15" t="s">
        <v>982</v>
      </c>
      <c r="E564" s="35" t="n">
        <v>290499</v>
      </c>
      <c r="F564" s="35" t="n">
        <v>0</v>
      </c>
      <c r="G564" s="35" t="n">
        <v>25237288</v>
      </c>
      <c r="H564" s="36" t="s">
        <v>198</v>
      </c>
    </row>
    <row r="565" customFormat="false" ht="15" hidden="false" customHeight="false" outlineLevel="0" collapsed="false">
      <c r="A565" s="21" t="s">
        <v>968</v>
      </c>
      <c r="B565" s="15" t="s">
        <v>979</v>
      </c>
      <c r="C565" s="21" t="s">
        <v>980</v>
      </c>
      <c r="D565" s="15" t="s">
        <v>983</v>
      </c>
      <c r="E565" s="35" t="n">
        <v>193666</v>
      </c>
      <c r="F565" s="35" t="n">
        <v>0</v>
      </c>
      <c r="G565" s="35" t="n">
        <v>25527787</v>
      </c>
      <c r="H565" s="36" t="s">
        <v>198</v>
      </c>
    </row>
    <row r="566" customFormat="false" ht="15" hidden="false" customHeight="false" outlineLevel="0" collapsed="false">
      <c r="A566" s="21" t="s">
        <v>968</v>
      </c>
      <c r="B566" s="15" t="s">
        <v>979</v>
      </c>
      <c r="C566" s="21" t="s">
        <v>980</v>
      </c>
      <c r="D566" s="15" t="s">
        <v>984</v>
      </c>
      <c r="E566" s="35" t="n">
        <v>895246</v>
      </c>
      <c r="F566" s="35" t="n">
        <v>0</v>
      </c>
      <c r="G566" s="35" t="n">
        <v>25721453</v>
      </c>
      <c r="H566" s="36" t="s">
        <v>198</v>
      </c>
    </row>
    <row r="567" customFormat="false" ht="15" hidden="false" customHeight="false" outlineLevel="0" collapsed="false">
      <c r="A567" s="21" t="s">
        <v>968</v>
      </c>
      <c r="B567" s="15" t="s">
        <v>979</v>
      </c>
      <c r="C567" s="21" t="s">
        <v>980</v>
      </c>
      <c r="D567" s="15" t="s">
        <v>985</v>
      </c>
      <c r="E567" s="35" t="n">
        <v>760136</v>
      </c>
      <c r="F567" s="35" t="n">
        <v>0</v>
      </c>
      <c r="G567" s="35" t="n">
        <v>26616699</v>
      </c>
      <c r="H567" s="36" t="s">
        <v>198</v>
      </c>
    </row>
    <row r="568" customFormat="false" ht="17.15" hidden="false" customHeight="false" outlineLevel="0" collapsed="false">
      <c r="A568" s="21" t="s">
        <v>968</v>
      </c>
      <c r="B568" s="15" t="s">
        <v>986</v>
      </c>
      <c r="C568" s="21" t="s">
        <v>987</v>
      </c>
      <c r="D568" s="21" t="s">
        <v>988</v>
      </c>
      <c r="E568" s="35" t="n">
        <v>44000</v>
      </c>
      <c r="F568" s="35" t="n">
        <v>0</v>
      </c>
      <c r="G568" s="35" t="n">
        <v>27376835</v>
      </c>
      <c r="H568" s="36" t="s">
        <v>494</v>
      </c>
    </row>
    <row r="569" customFormat="false" ht="17.15" hidden="false" customHeight="false" outlineLevel="0" collapsed="false">
      <c r="A569" s="30" t="s">
        <v>968</v>
      </c>
      <c r="B569" s="29" t="s">
        <v>989</v>
      </c>
      <c r="C569" s="30" t="s">
        <v>990</v>
      </c>
      <c r="D569" s="29" t="s">
        <v>991</v>
      </c>
      <c r="E569" s="33" t="n">
        <v>0</v>
      </c>
      <c r="F569" s="33" t="n">
        <v>20000000</v>
      </c>
      <c r="G569" s="33" t="n">
        <v>27420835</v>
      </c>
      <c r="H569" s="34" t="s">
        <v>992</v>
      </c>
    </row>
    <row r="570" customFormat="false" ht="17.15" hidden="false" customHeight="false" outlineLevel="0" collapsed="false">
      <c r="A570" s="21" t="s">
        <v>968</v>
      </c>
      <c r="B570" s="15" t="s">
        <v>993</v>
      </c>
      <c r="C570" s="15" t="s">
        <v>994</v>
      </c>
      <c r="D570" s="21" t="s">
        <v>995</v>
      </c>
      <c r="E570" s="35" t="n">
        <v>3812134</v>
      </c>
      <c r="F570" s="35" t="n">
        <v>0</v>
      </c>
      <c r="G570" s="35" t="n">
        <v>7420835</v>
      </c>
      <c r="H570" s="36" t="s">
        <v>184</v>
      </c>
    </row>
    <row r="571" customFormat="false" ht="15" hidden="false" customHeight="false" outlineLevel="0" collapsed="false">
      <c r="A571" s="21" t="s">
        <v>968</v>
      </c>
      <c r="B571" s="15" t="s">
        <v>996</v>
      </c>
      <c r="C571" s="21" t="s">
        <v>163</v>
      </c>
      <c r="D571" s="15" t="s">
        <v>997</v>
      </c>
      <c r="E571" s="35" t="n">
        <v>33000</v>
      </c>
      <c r="F571" s="35" t="n">
        <v>0</v>
      </c>
      <c r="G571" s="35" t="n">
        <v>11232969</v>
      </c>
      <c r="H571" s="36" t="s">
        <v>165</v>
      </c>
    </row>
    <row r="572" customFormat="false" ht="17.15" hidden="false" customHeight="false" outlineLevel="0" collapsed="false">
      <c r="A572" s="21" t="s">
        <v>968</v>
      </c>
      <c r="B572" s="15" t="s">
        <v>998</v>
      </c>
      <c r="C572" s="15" t="s">
        <v>994</v>
      </c>
      <c r="D572" s="21" t="s">
        <v>999</v>
      </c>
      <c r="E572" s="35" t="n">
        <v>21500</v>
      </c>
      <c r="F572" s="35" t="n">
        <v>0</v>
      </c>
      <c r="G572" s="35" t="n">
        <v>11265969</v>
      </c>
      <c r="H572" s="36" t="s">
        <v>252</v>
      </c>
    </row>
    <row r="573" customFormat="false" ht="17.15" hidden="false" customHeight="false" outlineLevel="0" collapsed="false">
      <c r="A573" s="21" t="s">
        <v>968</v>
      </c>
      <c r="B573" s="15" t="s">
        <v>1000</v>
      </c>
      <c r="C573" s="21" t="s">
        <v>1001</v>
      </c>
      <c r="D573" s="15" t="s">
        <v>1002</v>
      </c>
      <c r="E573" s="35" t="n">
        <v>2087100</v>
      </c>
      <c r="F573" s="35" t="n">
        <v>0</v>
      </c>
      <c r="G573" s="35" t="n">
        <v>11287469</v>
      </c>
      <c r="H573" s="36" t="s">
        <v>1003</v>
      </c>
    </row>
    <row r="574" customFormat="false" ht="17.15" hidden="false" customHeight="false" outlineLevel="0" collapsed="false">
      <c r="A574" s="21" t="s">
        <v>968</v>
      </c>
      <c r="B574" s="15" t="s">
        <v>1000</v>
      </c>
      <c r="C574" s="21" t="s">
        <v>1001</v>
      </c>
      <c r="D574" s="15" t="s">
        <v>1004</v>
      </c>
      <c r="E574" s="35" t="n">
        <v>323660</v>
      </c>
      <c r="F574" s="35" t="n">
        <v>0</v>
      </c>
      <c r="G574" s="35" t="n">
        <v>13374569</v>
      </c>
      <c r="H574" s="36" t="s">
        <v>1003</v>
      </c>
    </row>
    <row r="575" customFormat="false" ht="17.15" hidden="false" customHeight="false" outlineLevel="0" collapsed="false">
      <c r="A575" s="21" t="s">
        <v>968</v>
      </c>
      <c r="B575" s="15" t="s">
        <v>1005</v>
      </c>
      <c r="C575" s="21" t="s">
        <v>1001</v>
      </c>
      <c r="D575" s="15" t="s">
        <v>1006</v>
      </c>
      <c r="E575" s="35" t="n">
        <v>432230</v>
      </c>
      <c r="F575" s="35" t="n">
        <v>0</v>
      </c>
      <c r="G575" s="35" t="n">
        <v>13698229</v>
      </c>
      <c r="H575" s="36" t="s">
        <v>1003</v>
      </c>
    </row>
    <row r="576" customFormat="false" ht="17.15" hidden="false" customHeight="false" outlineLevel="0" collapsed="false">
      <c r="A576" s="21" t="s">
        <v>968</v>
      </c>
      <c r="B576" s="15" t="s">
        <v>1005</v>
      </c>
      <c r="C576" s="21" t="s">
        <v>1001</v>
      </c>
      <c r="D576" s="15" t="s">
        <v>1007</v>
      </c>
      <c r="E576" s="35" t="n">
        <v>1768740</v>
      </c>
      <c r="F576" s="35" t="n">
        <v>0</v>
      </c>
      <c r="G576" s="35" t="n">
        <v>14130459</v>
      </c>
      <c r="H576" s="36" t="s">
        <v>1003</v>
      </c>
    </row>
    <row r="577" customFormat="false" ht="17.15" hidden="false" customHeight="false" outlineLevel="0" collapsed="false">
      <c r="A577" s="21" t="s">
        <v>968</v>
      </c>
      <c r="B577" s="15" t="s">
        <v>1008</v>
      </c>
      <c r="C577" s="15" t="s">
        <v>994</v>
      </c>
      <c r="D577" s="21" t="s">
        <v>1009</v>
      </c>
      <c r="E577" s="35" t="n">
        <v>165000</v>
      </c>
      <c r="F577" s="35" t="n">
        <v>0</v>
      </c>
      <c r="G577" s="35" t="n">
        <v>15899199</v>
      </c>
      <c r="H577" s="36" t="s">
        <v>492</v>
      </c>
    </row>
    <row r="578" customFormat="false" ht="17.15" hidden="false" customHeight="false" outlineLevel="0" collapsed="false">
      <c r="A578" s="21" t="s">
        <v>968</v>
      </c>
      <c r="B578" s="15" t="s">
        <v>1010</v>
      </c>
      <c r="C578" s="21" t="s">
        <v>1011</v>
      </c>
      <c r="D578" s="15" t="s">
        <v>1012</v>
      </c>
      <c r="E578" s="35" t="n">
        <v>5671350</v>
      </c>
      <c r="F578" s="35" t="n">
        <v>0</v>
      </c>
      <c r="G578" s="35" t="n">
        <v>16064199</v>
      </c>
      <c r="H578" s="36" t="s">
        <v>1013</v>
      </c>
    </row>
    <row r="579" customFormat="false" ht="17.15" hidden="false" customHeight="false" outlineLevel="0" collapsed="false">
      <c r="A579" s="21" t="s">
        <v>968</v>
      </c>
      <c r="B579" s="15" t="s">
        <v>1014</v>
      </c>
      <c r="C579" s="21" t="s">
        <v>970</v>
      </c>
      <c r="D579" s="15" t="s">
        <v>1015</v>
      </c>
      <c r="E579" s="35" t="n">
        <v>93200</v>
      </c>
      <c r="F579" s="35" t="n">
        <v>0</v>
      </c>
      <c r="G579" s="35" t="n">
        <v>21735549</v>
      </c>
      <c r="H579" s="36" t="s">
        <v>972</v>
      </c>
    </row>
    <row r="580" customFormat="false" ht="17.15" hidden="false" customHeight="false" outlineLevel="0" collapsed="false">
      <c r="A580" s="21" t="s">
        <v>968</v>
      </c>
      <c r="B580" s="15" t="s">
        <v>1016</v>
      </c>
      <c r="C580" s="21" t="s">
        <v>974</v>
      </c>
      <c r="D580" s="21" t="s">
        <v>975</v>
      </c>
      <c r="E580" s="35" t="n">
        <v>33000</v>
      </c>
      <c r="F580" s="35" t="n">
        <v>0</v>
      </c>
      <c r="G580" s="35" t="n">
        <v>21828749</v>
      </c>
      <c r="H580" s="37" t="s">
        <v>176</v>
      </c>
    </row>
    <row r="581" customFormat="false" ht="17.15" hidden="false" customHeight="false" outlineLevel="0" collapsed="false">
      <c r="A581" s="21" t="s">
        <v>968</v>
      </c>
      <c r="B581" s="15" t="s">
        <v>1016</v>
      </c>
      <c r="C581" s="21" t="s">
        <v>974</v>
      </c>
      <c r="D581" s="21" t="s">
        <v>976</v>
      </c>
      <c r="E581" s="35" t="n">
        <v>264000</v>
      </c>
      <c r="F581" s="35" t="n">
        <v>0</v>
      </c>
      <c r="G581" s="35" t="n">
        <v>21861749</v>
      </c>
      <c r="H581" s="37" t="s">
        <v>176</v>
      </c>
    </row>
    <row r="582" customFormat="false" ht="17.15" hidden="false" customHeight="false" outlineLevel="0" collapsed="false">
      <c r="A582" s="21" t="s">
        <v>968</v>
      </c>
      <c r="B582" s="15" t="s">
        <v>1016</v>
      </c>
      <c r="C582" s="21" t="s">
        <v>974</v>
      </c>
      <c r="D582" s="21" t="s">
        <v>977</v>
      </c>
      <c r="E582" s="35" t="n">
        <v>110000</v>
      </c>
      <c r="F582" s="35" t="n">
        <v>0</v>
      </c>
      <c r="G582" s="35" t="n">
        <v>22125749</v>
      </c>
      <c r="H582" s="37" t="s">
        <v>176</v>
      </c>
    </row>
    <row r="583" customFormat="false" ht="17.15" hidden="false" customHeight="false" outlineLevel="0" collapsed="false">
      <c r="A583" s="21" t="s">
        <v>968</v>
      </c>
      <c r="B583" s="15" t="s">
        <v>1016</v>
      </c>
      <c r="C583" s="21" t="s">
        <v>974</v>
      </c>
      <c r="D583" s="21" t="s">
        <v>978</v>
      </c>
      <c r="E583" s="35" t="n">
        <v>110000</v>
      </c>
      <c r="F583" s="35" t="n">
        <v>0</v>
      </c>
      <c r="G583" s="35" t="n">
        <v>22235749</v>
      </c>
      <c r="H583" s="37" t="s">
        <v>176</v>
      </c>
    </row>
    <row r="584" customFormat="false" ht="15" hidden="false" customHeight="false" outlineLevel="0" collapsed="false">
      <c r="A584" s="21" t="s">
        <v>968</v>
      </c>
      <c r="B584" s="15" t="s">
        <v>1017</v>
      </c>
      <c r="C584" s="21" t="s">
        <v>980</v>
      </c>
      <c r="D584" s="15" t="s">
        <v>984</v>
      </c>
      <c r="E584" s="35" t="n">
        <v>866367</v>
      </c>
      <c r="F584" s="35" t="n">
        <v>0</v>
      </c>
      <c r="G584" s="35" t="n">
        <v>22345749</v>
      </c>
      <c r="H584" s="36" t="s">
        <v>198</v>
      </c>
    </row>
    <row r="585" customFormat="false" ht="15" hidden="false" customHeight="false" outlineLevel="0" collapsed="false">
      <c r="A585" s="21" t="s">
        <v>968</v>
      </c>
      <c r="B585" s="15" t="s">
        <v>1017</v>
      </c>
      <c r="C585" s="21" t="s">
        <v>980</v>
      </c>
      <c r="D585" s="15" t="s">
        <v>983</v>
      </c>
      <c r="E585" s="35" t="n">
        <v>187419</v>
      </c>
      <c r="F585" s="35" t="n">
        <v>0</v>
      </c>
      <c r="G585" s="35" t="n">
        <v>23212116</v>
      </c>
      <c r="H585" s="36" t="s">
        <v>198</v>
      </c>
    </row>
    <row r="586" customFormat="false" ht="15" hidden="false" customHeight="false" outlineLevel="0" collapsed="false">
      <c r="A586" s="21" t="s">
        <v>968</v>
      </c>
      <c r="B586" s="15" t="s">
        <v>1017</v>
      </c>
      <c r="C586" s="21" t="s">
        <v>980</v>
      </c>
      <c r="D586" s="15" t="s">
        <v>982</v>
      </c>
      <c r="E586" s="35" t="n">
        <v>281129</v>
      </c>
      <c r="F586" s="35" t="n">
        <v>0</v>
      </c>
      <c r="G586" s="35" t="n">
        <v>23399535</v>
      </c>
      <c r="H586" s="36" t="s">
        <v>198</v>
      </c>
    </row>
    <row r="587" customFormat="false" ht="15" hidden="false" customHeight="false" outlineLevel="0" collapsed="false">
      <c r="A587" s="21" t="s">
        <v>968</v>
      </c>
      <c r="B587" s="15" t="s">
        <v>1017</v>
      </c>
      <c r="C587" s="21" t="s">
        <v>980</v>
      </c>
      <c r="D587" s="15" t="s">
        <v>981</v>
      </c>
      <c r="E587" s="35" t="n">
        <v>4829506</v>
      </c>
      <c r="F587" s="35" t="n">
        <v>0</v>
      </c>
      <c r="G587" s="35" t="n">
        <v>23680664</v>
      </c>
      <c r="H587" s="36" t="s">
        <v>198</v>
      </c>
    </row>
    <row r="588" customFormat="false" ht="15" hidden="false" customHeight="false" outlineLevel="0" collapsed="false">
      <c r="A588" s="21" t="s">
        <v>968</v>
      </c>
      <c r="B588" s="15" t="s">
        <v>1018</v>
      </c>
      <c r="C588" s="21" t="s">
        <v>980</v>
      </c>
      <c r="D588" s="15" t="s">
        <v>985</v>
      </c>
      <c r="E588" s="35" t="n">
        <v>735616</v>
      </c>
      <c r="F588" s="35" t="n">
        <v>0</v>
      </c>
      <c r="G588" s="35" t="n">
        <v>28510170</v>
      </c>
      <c r="H588" s="36" t="s">
        <v>198</v>
      </c>
    </row>
    <row r="589" customFormat="false" ht="17.15" hidden="false" customHeight="false" outlineLevel="0" collapsed="false">
      <c r="A589" s="21" t="s">
        <v>968</v>
      </c>
      <c r="B589" s="15" t="s">
        <v>1019</v>
      </c>
      <c r="C589" s="21" t="s">
        <v>987</v>
      </c>
      <c r="D589" s="21" t="s">
        <v>988</v>
      </c>
      <c r="E589" s="35" t="n">
        <v>44000</v>
      </c>
      <c r="F589" s="35" t="n">
        <v>0</v>
      </c>
      <c r="G589" s="35" t="n">
        <v>29245786</v>
      </c>
      <c r="H589" s="36" t="s">
        <v>494</v>
      </c>
    </row>
    <row r="590" customFormat="false" ht="17.15" hidden="false" customHeight="false" outlineLevel="0" collapsed="false">
      <c r="A590" s="21" t="s">
        <v>968</v>
      </c>
      <c r="B590" s="15" t="s">
        <v>1020</v>
      </c>
      <c r="C590" s="15" t="s">
        <v>994</v>
      </c>
      <c r="D590" s="21" t="s">
        <v>995</v>
      </c>
      <c r="E590" s="35" t="n">
        <v>710214</v>
      </c>
      <c r="F590" s="35" t="n">
        <v>0</v>
      </c>
      <c r="G590" s="35" t="n">
        <v>29289786</v>
      </c>
      <c r="H590" s="36" t="s">
        <v>184</v>
      </c>
    </row>
    <row r="591" customFormat="false" ht="17.15" hidden="false" customHeight="false" outlineLevel="0" collapsed="false">
      <c r="A591" s="30" t="s">
        <v>968</v>
      </c>
      <c r="B591" s="29" t="s">
        <v>1021</v>
      </c>
      <c r="C591" s="30" t="s">
        <v>990</v>
      </c>
      <c r="D591" s="29" t="s">
        <v>991</v>
      </c>
      <c r="E591" s="33" t="n">
        <v>0</v>
      </c>
      <c r="F591" s="33" t="n">
        <v>30000000</v>
      </c>
      <c r="G591" s="33" t="n">
        <v>30000000</v>
      </c>
      <c r="H591" s="34" t="s">
        <v>992</v>
      </c>
    </row>
    <row r="592" customFormat="false" ht="17.15" hidden="false" customHeight="false" outlineLevel="0" collapsed="false">
      <c r="A592" s="21" t="s">
        <v>968</v>
      </c>
      <c r="B592" s="15" t="s">
        <v>1022</v>
      </c>
      <c r="C592" s="15" t="s">
        <v>994</v>
      </c>
      <c r="D592" s="21" t="s">
        <v>995</v>
      </c>
      <c r="E592" s="35" t="n">
        <v>293169</v>
      </c>
      <c r="F592" s="35" t="n">
        <v>0</v>
      </c>
      <c r="G592" s="35" t="n">
        <v>0</v>
      </c>
      <c r="H592" s="36" t="s">
        <v>184</v>
      </c>
    </row>
    <row r="593" customFormat="false" ht="15" hidden="false" customHeight="false" outlineLevel="0" collapsed="false">
      <c r="A593" s="21" t="s">
        <v>968</v>
      </c>
      <c r="B593" s="15" t="s">
        <v>1023</v>
      </c>
      <c r="C593" s="21" t="s">
        <v>163</v>
      </c>
      <c r="D593" s="15" t="s">
        <v>997</v>
      </c>
      <c r="E593" s="35" t="n">
        <v>33000</v>
      </c>
      <c r="F593" s="35" t="n">
        <v>0</v>
      </c>
      <c r="G593" s="35" t="n">
        <v>293169</v>
      </c>
      <c r="H593" s="36" t="s">
        <v>165</v>
      </c>
    </row>
    <row r="594" customFormat="false" ht="17.15" hidden="false" customHeight="false" outlineLevel="0" collapsed="false">
      <c r="A594" s="21" t="s">
        <v>968</v>
      </c>
      <c r="B594" s="15" t="s">
        <v>1024</v>
      </c>
      <c r="C594" s="15" t="s">
        <v>994</v>
      </c>
      <c r="D594" s="21" t="s">
        <v>1025</v>
      </c>
      <c r="E594" s="35" t="n">
        <v>21500</v>
      </c>
      <c r="F594" s="35" t="n">
        <v>0</v>
      </c>
      <c r="G594" s="35" t="n">
        <v>326169</v>
      </c>
      <c r="H594" s="36" t="s">
        <v>252</v>
      </c>
    </row>
    <row r="595" customFormat="false" ht="17.15" hidden="false" customHeight="false" outlineLevel="0" collapsed="false">
      <c r="A595" s="21" t="s">
        <v>968</v>
      </c>
      <c r="B595" s="15" t="s">
        <v>1026</v>
      </c>
      <c r="C595" s="21" t="s">
        <v>1001</v>
      </c>
      <c r="D595" s="15" t="s">
        <v>1027</v>
      </c>
      <c r="E595" s="35" t="n">
        <v>323660</v>
      </c>
      <c r="F595" s="35" t="n">
        <v>0</v>
      </c>
      <c r="G595" s="35" t="n">
        <v>347669</v>
      </c>
      <c r="H595" s="36" t="s">
        <v>1003</v>
      </c>
    </row>
    <row r="596" customFormat="false" ht="17.15" hidden="false" customHeight="false" outlineLevel="0" collapsed="false">
      <c r="A596" s="21" t="s">
        <v>968</v>
      </c>
      <c r="B596" s="15" t="s">
        <v>1026</v>
      </c>
      <c r="C596" s="21" t="s">
        <v>1001</v>
      </c>
      <c r="D596" s="15" t="s">
        <v>1028</v>
      </c>
      <c r="E596" s="35" t="n">
        <v>432230</v>
      </c>
      <c r="F596" s="35" t="n">
        <v>0</v>
      </c>
      <c r="G596" s="35" t="n">
        <v>671329</v>
      </c>
      <c r="H596" s="36" t="s">
        <v>1003</v>
      </c>
    </row>
    <row r="597" customFormat="false" ht="17.15" hidden="false" customHeight="false" outlineLevel="0" collapsed="false">
      <c r="A597" s="21" t="s">
        <v>968</v>
      </c>
      <c r="B597" s="15" t="s">
        <v>1026</v>
      </c>
      <c r="C597" s="21" t="s">
        <v>1001</v>
      </c>
      <c r="D597" s="15" t="s">
        <v>1029</v>
      </c>
      <c r="E597" s="35" t="n">
        <v>3261100</v>
      </c>
      <c r="F597" s="35" t="n">
        <v>0</v>
      </c>
      <c r="G597" s="35" t="n">
        <v>1103559</v>
      </c>
      <c r="H597" s="36" t="s">
        <v>1003</v>
      </c>
    </row>
    <row r="598" customFormat="false" ht="17.15" hidden="false" customHeight="false" outlineLevel="0" collapsed="false">
      <c r="A598" s="21" t="s">
        <v>968</v>
      </c>
      <c r="B598" s="15" t="s">
        <v>1026</v>
      </c>
      <c r="C598" s="21" t="s">
        <v>1001</v>
      </c>
      <c r="D598" s="15" t="s">
        <v>1030</v>
      </c>
      <c r="E598" s="35" t="n">
        <v>2084340</v>
      </c>
      <c r="F598" s="35" t="n">
        <v>0</v>
      </c>
      <c r="G598" s="35" t="n">
        <v>4364659</v>
      </c>
      <c r="H598" s="36" t="s">
        <v>1003</v>
      </c>
    </row>
    <row r="599" customFormat="false" ht="17.15" hidden="false" customHeight="false" outlineLevel="0" collapsed="false">
      <c r="A599" s="21" t="s">
        <v>968</v>
      </c>
      <c r="B599" s="15" t="s">
        <v>1031</v>
      </c>
      <c r="C599" s="15" t="s">
        <v>994</v>
      </c>
      <c r="D599" s="21" t="s">
        <v>1009</v>
      </c>
      <c r="E599" s="35" t="n">
        <v>165000</v>
      </c>
      <c r="F599" s="35" t="n">
        <v>0</v>
      </c>
      <c r="G599" s="35" t="n">
        <v>6448999</v>
      </c>
      <c r="H599" s="36" t="s">
        <v>492</v>
      </c>
    </row>
    <row r="600" customFormat="false" ht="17.15" hidden="false" customHeight="false" outlineLevel="0" collapsed="false">
      <c r="A600" s="21" t="s">
        <v>968</v>
      </c>
      <c r="B600" s="15" t="s">
        <v>1032</v>
      </c>
      <c r="C600" s="21" t="s">
        <v>1011</v>
      </c>
      <c r="D600" s="15" t="s">
        <v>1033</v>
      </c>
      <c r="E600" s="35" t="n">
        <v>5138440</v>
      </c>
      <c r="F600" s="35" t="n">
        <v>0</v>
      </c>
      <c r="G600" s="35" t="n">
        <v>6613999</v>
      </c>
      <c r="H600" s="36" t="s">
        <v>1013</v>
      </c>
    </row>
    <row r="601" customFormat="false" ht="17.15" hidden="false" customHeight="false" outlineLevel="0" collapsed="false">
      <c r="A601" s="21" t="s">
        <v>968</v>
      </c>
      <c r="B601" s="15" t="s">
        <v>1034</v>
      </c>
      <c r="C601" s="21" t="s">
        <v>970</v>
      </c>
      <c r="D601" s="15" t="s">
        <v>1035</v>
      </c>
      <c r="E601" s="35" t="n">
        <v>93200</v>
      </c>
      <c r="F601" s="35" t="n">
        <v>0</v>
      </c>
      <c r="G601" s="35" t="n">
        <v>11752439</v>
      </c>
      <c r="H601" s="36" t="s">
        <v>972</v>
      </c>
    </row>
    <row r="602" customFormat="false" ht="17.15" hidden="false" customHeight="false" outlineLevel="0" collapsed="false">
      <c r="A602" s="30" t="s">
        <v>968</v>
      </c>
      <c r="B602" s="29" t="s">
        <v>1036</v>
      </c>
      <c r="C602" s="30" t="s">
        <v>990</v>
      </c>
      <c r="D602" s="30" t="s">
        <v>1037</v>
      </c>
      <c r="E602" s="33" t="n">
        <v>0</v>
      </c>
      <c r="F602" s="33" t="n">
        <v>888140</v>
      </c>
      <c r="G602" s="33" t="n">
        <v>11845639</v>
      </c>
      <c r="H602" s="34" t="s">
        <v>132</v>
      </c>
    </row>
    <row r="603" customFormat="false" ht="17.15" hidden="false" customHeight="false" outlineLevel="0" collapsed="false">
      <c r="A603" s="21" t="s">
        <v>968</v>
      </c>
      <c r="B603" s="15" t="s">
        <v>1038</v>
      </c>
      <c r="C603" s="21" t="s">
        <v>974</v>
      </c>
      <c r="D603" s="21" t="s">
        <v>975</v>
      </c>
      <c r="E603" s="35" t="n">
        <v>33000</v>
      </c>
      <c r="F603" s="35" t="n">
        <v>0</v>
      </c>
      <c r="G603" s="35" t="n">
        <v>10957499</v>
      </c>
      <c r="H603" s="37" t="s">
        <v>176</v>
      </c>
    </row>
    <row r="604" customFormat="false" ht="17.15" hidden="false" customHeight="false" outlineLevel="0" collapsed="false">
      <c r="A604" s="21" t="s">
        <v>968</v>
      </c>
      <c r="B604" s="15" t="s">
        <v>1038</v>
      </c>
      <c r="C604" s="21" t="s">
        <v>974</v>
      </c>
      <c r="D604" s="21" t="s">
        <v>976</v>
      </c>
      <c r="E604" s="35" t="n">
        <v>264000</v>
      </c>
      <c r="F604" s="35" t="n">
        <v>0</v>
      </c>
      <c r="G604" s="35" t="n">
        <v>10990499</v>
      </c>
      <c r="H604" s="37" t="s">
        <v>176</v>
      </c>
    </row>
    <row r="605" customFormat="false" ht="17.15" hidden="false" customHeight="false" outlineLevel="0" collapsed="false">
      <c r="A605" s="21" t="s">
        <v>968</v>
      </c>
      <c r="B605" s="15" t="s">
        <v>1038</v>
      </c>
      <c r="C605" s="21" t="s">
        <v>974</v>
      </c>
      <c r="D605" s="21" t="s">
        <v>977</v>
      </c>
      <c r="E605" s="35" t="n">
        <v>110000</v>
      </c>
      <c r="F605" s="35" t="n">
        <v>0</v>
      </c>
      <c r="G605" s="35" t="n">
        <v>11254499</v>
      </c>
      <c r="H605" s="37" t="s">
        <v>176</v>
      </c>
    </row>
    <row r="606" customFormat="false" ht="17.15" hidden="false" customHeight="false" outlineLevel="0" collapsed="false">
      <c r="A606" s="21" t="s">
        <v>968</v>
      </c>
      <c r="B606" s="15" t="s">
        <v>1038</v>
      </c>
      <c r="C606" s="21" t="s">
        <v>974</v>
      </c>
      <c r="D606" s="21" t="s">
        <v>978</v>
      </c>
      <c r="E606" s="35" t="n">
        <v>110000</v>
      </c>
      <c r="F606" s="35" t="n">
        <v>0</v>
      </c>
      <c r="G606" s="35" t="n">
        <v>11364499</v>
      </c>
      <c r="H606" s="37" t="s">
        <v>176</v>
      </c>
    </row>
    <row r="607" customFormat="false" ht="15" hidden="false" customHeight="false" outlineLevel="0" collapsed="false">
      <c r="A607" s="21" t="s">
        <v>968</v>
      </c>
      <c r="B607" s="15" t="s">
        <v>1039</v>
      </c>
      <c r="C607" s="21" t="s">
        <v>980</v>
      </c>
      <c r="D607" s="15" t="s">
        <v>984</v>
      </c>
      <c r="E607" s="35" t="n">
        <v>895246</v>
      </c>
      <c r="F607" s="35" t="n">
        <v>0</v>
      </c>
      <c r="G607" s="35" t="n">
        <v>11474499</v>
      </c>
      <c r="H607" s="36" t="s">
        <v>198</v>
      </c>
    </row>
    <row r="608" customFormat="false" ht="15" hidden="false" customHeight="false" outlineLevel="0" collapsed="false">
      <c r="A608" s="21" t="s">
        <v>968</v>
      </c>
      <c r="B608" s="15" t="s">
        <v>1039</v>
      </c>
      <c r="C608" s="21" t="s">
        <v>980</v>
      </c>
      <c r="D608" s="15" t="s">
        <v>983</v>
      </c>
      <c r="E608" s="35" t="n">
        <v>193666</v>
      </c>
      <c r="F608" s="35" t="n">
        <v>0</v>
      </c>
      <c r="G608" s="35" t="n">
        <v>12369745</v>
      </c>
      <c r="H608" s="36" t="s">
        <v>198</v>
      </c>
    </row>
    <row r="609" customFormat="false" ht="15" hidden="false" customHeight="false" outlineLevel="0" collapsed="false">
      <c r="A609" s="21" t="s">
        <v>968</v>
      </c>
      <c r="B609" s="15" t="s">
        <v>1039</v>
      </c>
      <c r="C609" s="21" t="s">
        <v>980</v>
      </c>
      <c r="D609" s="15" t="s">
        <v>982</v>
      </c>
      <c r="E609" s="35" t="n">
        <v>290499</v>
      </c>
      <c r="F609" s="35" t="n">
        <v>0</v>
      </c>
      <c r="G609" s="35" t="n">
        <v>12563411</v>
      </c>
      <c r="H609" s="36" t="s">
        <v>198</v>
      </c>
    </row>
    <row r="610" customFormat="false" ht="15" hidden="false" customHeight="false" outlineLevel="0" collapsed="false">
      <c r="A610" s="21" t="s">
        <v>968</v>
      </c>
      <c r="B610" s="15" t="s">
        <v>1039</v>
      </c>
      <c r="C610" s="21" t="s">
        <v>980</v>
      </c>
      <c r="D610" s="15" t="s">
        <v>981</v>
      </c>
      <c r="E610" s="35" t="n">
        <v>4831158</v>
      </c>
      <c r="F610" s="35" t="n">
        <v>0</v>
      </c>
      <c r="G610" s="35" t="n">
        <v>12853910</v>
      </c>
      <c r="H610" s="36" t="s">
        <v>198</v>
      </c>
    </row>
    <row r="611" customFormat="false" ht="15" hidden="false" customHeight="false" outlineLevel="0" collapsed="false">
      <c r="A611" s="21" t="s">
        <v>968</v>
      </c>
      <c r="B611" s="15" t="s">
        <v>1039</v>
      </c>
      <c r="C611" s="21" t="s">
        <v>980</v>
      </c>
      <c r="D611" s="15" t="s">
        <v>985</v>
      </c>
      <c r="E611" s="35" t="n">
        <v>760136</v>
      </c>
      <c r="F611" s="35" t="n">
        <v>0</v>
      </c>
      <c r="G611" s="35" t="n">
        <v>17685068</v>
      </c>
      <c r="H611" s="36" t="s">
        <v>198</v>
      </c>
    </row>
    <row r="612" customFormat="false" ht="17.15" hidden="false" customHeight="false" outlineLevel="0" collapsed="false">
      <c r="A612" s="21" t="s">
        <v>968</v>
      </c>
      <c r="B612" s="15" t="s">
        <v>1040</v>
      </c>
      <c r="C612" s="21" t="s">
        <v>987</v>
      </c>
      <c r="D612" s="21" t="s">
        <v>988</v>
      </c>
      <c r="E612" s="35" t="n">
        <v>44000</v>
      </c>
      <c r="F612" s="35" t="n">
        <v>0</v>
      </c>
      <c r="G612" s="35" t="n">
        <v>18445204</v>
      </c>
      <c r="H612" s="36" t="s">
        <v>494</v>
      </c>
    </row>
    <row r="613" customFormat="false" ht="17.15" hidden="false" customHeight="false" outlineLevel="0" collapsed="false">
      <c r="A613" s="30" t="s">
        <v>968</v>
      </c>
      <c r="B613" s="29" t="s">
        <v>1041</v>
      </c>
      <c r="C613" s="30" t="s">
        <v>88</v>
      </c>
      <c r="D613" s="30" t="s">
        <v>89</v>
      </c>
      <c r="E613" s="33" t="n">
        <v>0</v>
      </c>
      <c r="F613" s="33" t="n">
        <v>5021</v>
      </c>
      <c r="G613" s="33" t="n">
        <v>18489204</v>
      </c>
      <c r="H613" s="34" t="s">
        <v>443</v>
      </c>
    </row>
    <row r="614" customFormat="false" ht="17.15" hidden="false" customHeight="false" outlineLevel="0" collapsed="false">
      <c r="A614" s="21" t="s">
        <v>968</v>
      </c>
      <c r="B614" s="15" t="s">
        <v>1042</v>
      </c>
      <c r="C614" s="15" t="s">
        <v>994</v>
      </c>
      <c r="D614" s="21" t="s">
        <v>995</v>
      </c>
      <c r="E614" s="35" t="n">
        <v>2851968</v>
      </c>
      <c r="F614" s="35" t="n">
        <v>0</v>
      </c>
      <c r="G614" s="35" t="n">
        <v>18484183</v>
      </c>
      <c r="H614" s="36" t="s">
        <v>184</v>
      </c>
    </row>
    <row r="615" customFormat="false" ht="15" hidden="false" customHeight="false" outlineLevel="0" collapsed="false">
      <c r="A615" s="21" t="s">
        <v>968</v>
      </c>
      <c r="B615" s="15" t="s">
        <v>1043</v>
      </c>
      <c r="C615" s="21" t="s">
        <v>163</v>
      </c>
      <c r="D615" s="15" t="s">
        <v>997</v>
      </c>
      <c r="E615" s="35" t="n">
        <v>33000</v>
      </c>
      <c r="F615" s="35" t="n">
        <v>0</v>
      </c>
      <c r="G615" s="35" t="n">
        <v>21336151</v>
      </c>
      <c r="H615" s="36" t="s">
        <v>165</v>
      </c>
    </row>
    <row r="616" customFormat="false" ht="17.15" hidden="false" customHeight="false" outlineLevel="0" collapsed="false">
      <c r="A616" s="21" t="s">
        <v>968</v>
      </c>
      <c r="B616" s="15" t="s">
        <v>1044</v>
      </c>
      <c r="C616" s="15" t="s">
        <v>994</v>
      </c>
      <c r="D616" s="21" t="s">
        <v>1045</v>
      </c>
      <c r="E616" s="35" t="n">
        <v>21500</v>
      </c>
      <c r="F616" s="35" t="n">
        <v>0</v>
      </c>
      <c r="G616" s="35" t="n">
        <v>21369151</v>
      </c>
      <c r="H616" s="36" t="s">
        <v>252</v>
      </c>
    </row>
    <row r="617" customFormat="false" ht="17.15" hidden="false" customHeight="false" outlineLevel="0" collapsed="false">
      <c r="A617" s="21" t="s">
        <v>968</v>
      </c>
      <c r="B617" s="15" t="s">
        <v>1046</v>
      </c>
      <c r="C617" s="21" t="s">
        <v>1001</v>
      </c>
      <c r="D617" s="15" t="s">
        <v>1047</v>
      </c>
      <c r="E617" s="35" t="n">
        <v>3272940</v>
      </c>
      <c r="F617" s="35" t="n">
        <v>0</v>
      </c>
      <c r="G617" s="35" t="n">
        <v>21390651</v>
      </c>
      <c r="H617" s="36" t="s">
        <v>1003</v>
      </c>
    </row>
    <row r="618" customFormat="false" ht="17.15" hidden="false" customHeight="false" outlineLevel="0" collapsed="false">
      <c r="A618" s="21" t="s">
        <v>968</v>
      </c>
      <c r="B618" s="15" t="s">
        <v>1048</v>
      </c>
      <c r="C618" s="21" t="s">
        <v>1001</v>
      </c>
      <c r="D618" s="15" t="s">
        <v>1049</v>
      </c>
      <c r="E618" s="35" t="n">
        <v>323660</v>
      </c>
      <c r="F618" s="35" t="n">
        <v>0</v>
      </c>
      <c r="G618" s="35" t="n">
        <v>24663591</v>
      </c>
      <c r="H618" s="36" t="s">
        <v>1003</v>
      </c>
    </row>
    <row r="619" customFormat="false" ht="17.15" hidden="false" customHeight="false" outlineLevel="0" collapsed="false">
      <c r="A619" s="21" t="s">
        <v>968</v>
      </c>
      <c r="B619" s="15" t="s">
        <v>1048</v>
      </c>
      <c r="C619" s="21" t="s">
        <v>1001</v>
      </c>
      <c r="D619" s="15" t="s">
        <v>1050</v>
      </c>
      <c r="E619" s="35" t="n">
        <v>432230</v>
      </c>
      <c r="F619" s="35" t="n">
        <v>0</v>
      </c>
      <c r="G619" s="35" t="n">
        <v>24987251</v>
      </c>
      <c r="H619" s="36" t="s">
        <v>1003</v>
      </c>
    </row>
    <row r="620" customFormat="false" ht="17.15" hidden="false" customHeight="false" outlineLevel="0" collapsed="false">
      <c r="A620" s="21" t="s">
        <v>968</v>
      </c>
      <c r="B620" s="15" t="s">
        <v>1051</v>
      </c>
      <c r="C620" s="21" t="s">
        <v>1001</v>
      </c>
      <c r="D620" s="15" t="s">
        <v>1052</v>
      </c>
      <c r="E620" s="35" t="n">
        <v>2084340</v>
      </c>
      <c r="F620" s="35" t="n">
        <v>0</v>
      </c>
      <c r="G620" s="35" t="n">
        <v>25419481</v>
      </c>
      <c r="H620" s="36" t="s">
        <v>1003</v>
      </c>
    </row>
    <row r="621" customFormat="false" ht="17.15" hidden="false" customHeight="false" outlineLevel="0" collapsed="false">
      <c r="A621" s="21" t="s">
        <v>968</v>
      </c>
      <c r="B621" s="15" t="s">
        <v>1053</v>
      </c>
      <c r="C621" s="15" t="s">
        <v>994</v>
      </c>
      <c r="D621" s="21" t="s">
        <v>1009</v>
      </c>
      <c r="E621" s="35" t="n">
        <v>165000</v>
      </c>
      <c r="F621" s="35" t="n">
        <v>0</v>
      </c>
      <c r="G621" s="35" t="n">
        <v>27503821</v>
      </c>
      <c r="H621" s="36" t="s">
        <v>492</v>
      </c>
    </row>
    <row r="622" customFormat="false" ht="17.15" hidden="false" customHeight="false" outlineLevel="0" collapsed="false">
      <c r="A622" s="21" t="s">
        <v>968</v>
      </c>
      <c r="B622" s="15" t="s">
        <v>1054</v>
      </c>
      <c r="C622" s="21" t="s">
        <v>1011</v>
      </c>
      <c r="D622" s="15" t="s">
        <v>1055</v>
      </c>
      <c r="E622" s="35" t="n">
        <v>4708170</v>
      </c>
      <c r="F622" s="35" t="n">
        <v>0</v>
      </c>
      <c r="G622" s="35" t="n">
        <v>27668821</v>
      </c>
      <c r="H622" s="36" t="s">
        <v>1013</v>
      </c>
    </row>
    <row r="623" customFormat="false" ht="17.15" hidden="false" customHeight="false" outlineLevel="0" collapsed="false">
      <c r="A623" s="21" t="s">
        <v>968</v>
      </c>
      <c r="B623" s="15" t="s">
        <v>1056</v>
      </c>
      <c r="C623" s="21" t="s">
        <v>970</v>
      </c>
      <c r="D623" s="15" t="s">
        <v>1057</v>
      </c>
      <c r="E623" s="35" t="n">
        <v>93200</v>
      </c>
      <c r="F623" s="35" t="n">
        <v>0</v>
      </c>
      <c r="G623" s="35" t="n">
        <v>32376991</v>
      </c>
      <c r="H623" s="36" t="s">
        <v>972</v>
      </c>
    </row>
    <row r="624" customFormat="false" ht="17.15" hidden="false" customHeight="false" outlineLevel="0" collapsed="false">
      <c r="A624" s="21" t="s">
        <v>968</v>
      </c>
      <c r="B624" s="15" t="s">
        <v>1058</v>
      </c>
      <c r="C624" s="21" t="s">
        <v>974</v>
      </c>
      <c r="D624" s="21" t="s">
        <v>975</v>
      </c>
      <c r="E624" s="35" t="n">
        <v>33000</v>
      </c>
      <c r="F624" s="35" t="n">
        <v>0</v>
      </c>
      <c r="G624" s="35" t="n">
        <v>32470191</v>
      </c>
      <c r="H624" s="37" t="s">
        <v>176</v>
      </c>
    </row>
    <row r="625" customFormat="false" ht="17.15" hidden="false" customHeight="false" outlineLevel="0" collapsed="false">
      <c r="A625" s="21" t="s">
        <v>968</v>
      </c>
      <c r="B625" s="15" t="s">
        <v>1058</v>
      </c>
      <c r="C625" s="21" t="s">
        <v>974</v>
      </c>
      <c r="D625" s="21" t="s">
        <v>976</v>
      </c>
      <c r="E625" s="35" t="n">
        <v>264000</v>
      </c>
      <c r="F625" s="35" t="n">
        <v>0</v>
      </c>
      <c r="G625" s="35" t="n">
        <v>32503191</v>
      </c>
      <c r="H625" s="37" t="s">
        <v>176</v>
      </c>
    </row>
    <row r="626" customFormat="false" ht="17.15" hidden="false" customHeight="false" outlineLevel="0" collapsed="false">
      <c r="A626" s="21" t="s">
        <v>968</v>
      </c>
      <c r="B626" s="15" t="s">
        <v>1058</v>
      </c>
      <c r="C626" s="21" t="s">
        <v>974</v>
      </c>
      <c r="D626" s="21" t="s">
        <v>977</v>
      </c>
      <c r="E626" s="35" t="n">
        <v>110000</v>
      </c>
      <c r="F626" s="35" t="n">
        <v>0</v>
      </c>
      <c r="G626" s="35" t="n">
        <v>32767191</v>
      </c>
      <c r="H626" s="37" t="s">
        <v>176</v>
      </c>
    </row>
    <row r="627" customFormat="false" ht="17.15" hidden="false" customHeight="false" outlineLevel="0" collapsed="false">
      <c r="A627" s="21" t="s">
        <v>968</v>
      </c>
      <c r="B627" s="15" t="s">
        <v>1058</v>
      </c>
      <c r="C627" s="21" t="s">
        <v>974</v>
      </c>
      <c r="D627" s="21" t="s">
        <v>978</v>
      </c>
      <c r="E627" s="35" t="n">
        <v>110000</v>
      </c>
      <c r="F627" s="35" t="n">
        <v>0</v>
      </c>
      <c r="G627" s="35" t="n">
        <v>32877191</v>
      </c>
      <c r="H627" s="37" t="s">
        <v>176</v>
      </c>
    </row>
    <row r="628" customFormat="false" ht="15" hidden="false" customHeight="false" outlineLevel="0" collapsed="false">
      <c r="A628" s="21" t="s">
        <v>968</v>
      </c>
      <c r="B628" s="15" t="s">
        <v>1059</v>
      </c>
      <c r="C628" s="21" t="s">
        <v>980</v>
      </c>
      <c r="D628" s="15" t="s">
        <v>983</v>
      </c>
      <c r="E628" s="35" t="n">
        <v>187419</v>
      </c>
      <c r="F628" s="35" t="n">
        <v>0</v>
      </c>
      <c r="G628" s="35" t="n">
        <v>32987191</v>
      </c>
      <c r="H628" s="36" t="s">
        <v>198</v>
      </c>
    </row>
    <row r="629" customFormat="false" ht="15" hidden="false" customHeight="false" outlineLevel="0" collapsed="false">
      <c r="A629" s="21" t="s">
        <v>968</v>
      </c>
      <c r="B629" s="15" t="s">
        <v>1059</v>
      </c>
      <c r="C629" s="21" t="s">
        <v>980</v>
      </c>
      <c r="D629" s="15" t="s">
        <v>981</v>
      </c>
      <c r="E629" s="35" t="n">
        <v>4923673</v>
      </c>
      <c r="F629" s="35" t="n">
        <v>0</v>
      </c>
      <c r="G629" s="35" t="n">
        <v>33174610</v>
      </c>
      <c r="H629" s="36" t="s">
        <v>198</v>
      </c>
    </row>
    <row r="630" customFormat="false" ht="15" hidden="false" customHeight="false" outlineLevel="0" collapsed="false">
      <c r="A630" s="21" t="s">
        <v>968</v>
      </c>
      <c r="B630" s="15" t="s">
        <v>1059</v>
      </c>
      <c r="C630" s="21" t="s">
        <v>980</v>
      </c>
      <c r="D630" s="15" t="s">
        <v>984</v>
      </c>
      <c r="E630" s="35" t="n">
        <v>866367</v>
      </c>
      <c r="F630" s="35" t="n">
        <v>0</v>
      </c>
      <c r="G630" s="35" t="n">
        <v>38098283</v>
      </c>
      <c r="H630" s="36" t="s">
        <v>198</v>
      </c>
    </row>
    <row r="631" customFormat="false" ht="15" hidden="false" customHeight="false" outlineLevel="0" collapsed="false">
      <c r="A631" s="21" t="s">
        <v>968</v>
      </c>
      <c r="B631" s="15" t="s">
        <v>1059</v>
      </c>
      <c r="C631" s="21" t="s">
        <v>980</v>
      </c>
      <c r="D631" s="15" t="s">
        <v>985</v>
      </c>
      <c r="E631" s="35" t="n">
        <v>735616</v>
      </c>
      <c r="F631" s="35" t="n">
        <v>0</v>
      </c>
      <c r="G631" s="35" t="n">
        <v>38964650</v>
      </c>
      <c r="H631" s="36" t="s">
        <v>198</v>
      </c>
    </row>
    <row r="632" customFormat="false" ht="15" hidden="false" customHeight="false" outlineLevel="0" collapsed="false">
      <c r="A632" s="21" t="s">
        <v>968</v>
      </c>
      <c r="B632" s="15" t="s">
        <v>1059</v>
      </c>
      <c r="C632" s="21" t="s">
        <v>980</v>
      </c>
      <c r="D632" s="15" t="s">
        <v>982</v>
      </c>
      <c r="E632" s="35" t="n">
        <v>281129</v>
      </c>
      <c r="F632" s="35" t="n">
        <v>0</v>
      </c>
      <c r="G632" s="35" t="n">
        <v>39700266</v>
      </c>
      <c r="H632" s="36" t="s">
        <v>198</v>
      </c>
    </row>
    <row r="633" customFormat="false" ht="17.15" hidden="false" customHeight="false" outlineLevel="0" collapsed="false">
      <c r="A633" s="21" t="s">
        <v>968</v>
      </c>
      <c r="B633" s="15" t="s">
        <v>1060</v>
      </c>
      <c r="C633" s="15" t="s">
        <v>170</v>
      </c>
      <c r="D633" s="21" t="s">
        <v>988</v>
      </c>
      <c r="E633" s="35" t="n">
        <v>44000</v>
      </c>
      <c r="F633" s="35" t="n">
        <v>0</v>
      </c>
      <c r="G633" s="35" t="n">
        <v>39981395</v>
      </c>
      <c r="H633" s="36" t="s">
        <v>494</v>
      </c>
    </row>
    <row r="634" customFormat="false" ht="17.15" hidden="false" customHeight="false" outlineLevel="0" collapsed="false">
      <c r="A634" s="21" t="s">
        <v>968</v>
      </c>
      <c r="B634" s="15" t="s">
        <v>1061</v>
      </c>
      <c r="C634" s="15" t="s">
        <v>1062</v>
      </c>
      <c r="D634" s="21" t="s">
        <v>995</v>
      </c>
      <c r="E634" s="35" t="n">
        <v>1261748</v>
      </c>
      <c r="F634" s="35" t="n">
        <v>0</v>
      </c>
      <c r="G634" s="35" t="n">
        <v>40025395</v>
      </c>
      <c r="H634" s="36" t="s">
        <v>184</v>
      </c>
    </row>
    <row r="635" customFormat="false" ht="15" hidden="false" customHeight="false" outlineLevel="0" collapsed="false">
      <c r="A635" s="21" t="s">
        <v>968</v>
      </c>
      <c r="B635" s="15" t="s">
        <v>1063</v>
      </c>
      <c r="C635" s="21" t="s">
        <v>163</v>
      </c>
      <c r="D635" s="15" t="s">
        <v>997</v>
      </c>
      <c r="E635" s="35" t="n">
        <v>33000</v>
      </c>
      <c r="F635" s="35" t="n">
        <v>0</v>
      </c>
      <c r="G635" s="35" t="n">
        <v>41287143</v>
      </c>
      <c r="H635" s="36" t="s">
        <v>165</v>
      </c>
    </row>
    <row r="636" customFormat="false" ht="17.15" hidden="false" customHeight="false" outlineLevel="0" collapsed="false">
      <c r="A636" s="30" t="s">
        <v>968</v>
      </c>
      <c r="B636" s="29" t="s">
        <v>1064</v>
      </c>
      <c r="C636" s="30" t="s">
        <v>1065</v>
      </c>
      <c r="D636" s="30" t="s">
        <v>1066</v>
      </c>
      <c r="E636" s="33" t="n">
        <v>0</v>
      </c>
      <c r="F636" s="33" t="n">
        <v>36420680</v>
      </c>
      <c r="G636" s="33" t="n">
        <v>41320143</v>
      </c>
      <c r="H636" s="34" t="s">
        <v>1067</v>
      </c>
    </row>
    <row r="637" customFormat="false" ht="17.15" hidden="false" customHeight="false" outlineLevel="0" collapsed="false">
      <c r="A637" s="21" t="s">
        <v>968</v>
      </c>
      <c r="B637" s="15" t="s">
        <v>1068</v>
      </c>
      <c r="C637" s="15" t="s">
        <v>1062</v>
      </c>
      <c r="D637" s="21" t="s">
        <v>1069</v>
      </c>
      <c r="E637" s="35" t="n">
        <v>21500</v>
      </c>
      <c r="F637" s="35" t="n">
        <v>0</v>
      </c>
      <c r="G637" s="35" t="n">
        <v>4899463</v>
      </c>
      <c r="H637" s="36" t="s">
        <v>252</v>
      </c>
    </row>
    <row r="638" customFormat="false" ht="17.15" hidden="false" customHeight="false" outlineLevel="0" collapsed="false">
      <c r="A638" s="21" t="s">
        <v>968</v>
      </c>
      <c r="B638" s="15" t="s">
        <v>1070</v>
      </c>
      <c r="C638" s="21" t="s">
        <v>1001</v>
      </c>
      <c r="D638" s="15" t="s">
        <v>1071</v>
      </c>
      <c r="E638" s="35" t="n">
        <v>655350</v>
      </c>
      <c r="F638" s="35" t="n">
        <v>0</v>
      </c>
      <c r="G638" s="35" t="n">
        <v>4920963</v>
      </c>
      <c r="H638" s="36" t="s">
        <v>1003</v>
      </c>
    </row>
    <row r="639" customFormat="false" ht="17.15" hidden="false" customHeight="false" outlineLevel="0" collapsed="false">
      <c r="A639" s="21" t="s">
        <v>968</v>
      </c>
      <c r="B639" s="15" t="s">
        <v>1072</v>
      </c>
      <c r="C639" s="21" t="s">
        <v>1001</v>
      </c>
      <c r="D639" s="15" t="s">
        <v>1073</v>
      </c>
      <c r="E639" s="35" t="n">
        <v>3383600</v>
      </c>
      <c r="F639" s="35" t="n">
        <v>0</v>
      </c>
      <c r="G639" s="35" t="n">
        <v>5576313</v>
      </c>
      <c r="H639" s="36" t="s">
        <v>1003</v>
      </c>
    </row>
    <row r="640" customFormat="false" ht="17.15" hidden="false" customHeight="false" outlineLevel="0" collapsed="false">
      <c r="A640" s="21" t="s">
        <v>968</v>
      </c>
      <c r="B640" s="15" t="s">
        <v>1072</v>
      </c>
      <c r="C640" s="21" t="s">
        <v>1001</v>
      </c>
      <c r="D640" s="15" t="s">
        <v>1074</v>
      </c>
      <c r="E640" s="35" t="n">
        <v>2084340</v>
      </c>
      <c r="F640" s="35" t="n">
        <v>0</v>
      </c>
      <c r="G640" s="35" t="n">
        <v>8959913</v>
      </c>
      <c r="H640" s="36" t="s">
        <v>1003</v>
      </c>
    </row>
    <row r="641" customFormat="false" ht="17.15" hidden="false" customHeight="false" outlineLevel="0" collapsed="false">
      <c r="A641" s="21" t="s">
        <v>968</v>
      </c>
      <c r="B641" s="15" t="s">
        <v>1072</v>
      </c>
      <c r="C641" s="21" t="s">
        <v>1001</v>
      </c>
      <c r="D641" s="15" t="s">
        <v>1075</v>
      </c>
      <c r="E641" s="35" t="n">
        <v>291190</v>
      </c>
      <c r="F641" s="35" t="n">
        <v>0</v>
      </c>
      <c r="G641" s="35" t="n">
        <v>11044253</v>
      </c>
      <c r="H641" s="36" t="s">
        <v>1003</v>
      </c>
    </row>
    <row r="642" customFormat="false" ht="17.15" hidden="false" customHeight="false" outlineLevel="0" collapsed="false">
      <c r="A642" s="21" t="s">
        <v>968</v>
      </c>
      <c r="B642" s="15" t="s">
        <v>1076</v>
      </c>
      <c r="C642" s="15" t="s">
        <v>1062</v>
      </c>
      <c r="D642" s="21" t="s">
        <v>1009</v>
      </c>
      <c r="E642" s="35" t="n">
        <v>165000</v>
      </c>
      <c r="F642" s="35" t="n">
        <v>0</v>
      </c>
      <c r="G642" s="35" t="n">
        <v>11335443</v>
      </c>
      <c r="H642" s="36" t="s">
        <v>492</v>
      </c>
    </row>
    <row r="643" customFormat="false" ht="17.15" hidden="false" customHeight="false" outlineLevel="0" collapsed="false">
      <c r="A643" s="21" t="s">
        <v>968</v>
      </c>
      <c r="B643" s="15" t="s">
        <v>1077</v>
      </c>
      <c r="C643" s="21" t="s">
        <v>1011</v>
      </c>
      <c r="D643" s="15" t="s">
        <v>1078</v>
      </c>
      <c r="E643" s="35" t="n">
        <v>5076820</v>
      </c>
      <c r="F643" s="35" t="n">
        <v>0</v>
      </c>
      <c r="G643" s="35" t="n">
        <v>11500443</v>
      </c>
      <c r="H643" s="36" t="s">
        <v>1013</v>
      </c>
    </row>
    <row r="644" customFormat="false" ht="17.15" hidden="false" customHeight="false" outlineLevel="0" collapsed="false">
      <c r="A644" s="21" t="s">
        <v>968</v>
      </c>
      <c r="B644" s="15" t="s">
        <v>1079</v>
      </c>
      <c r="C644" s="21" t="s">
        <v>970</v>
      </c>
      <c r="D644" s="15" t="s">
        <v>1080</v>
      </c>
      <c r="E644" s="35" t="n">
        <v>93050</v>
      </c>
      <c r="F644" s="35" t="n">
        <v>0</v>
      </c>
      <c r="G644" s="35" t="n">
        <v>16577263</v>
      </c>
      <c r="H644" s="36" t="s">
        <v>972</v>
      </c>
    </row>
    <row r="645" customFormat="false" ht="17.15" hidden="false" customHeight="false" outlineLevel="0" collapsed="false">
      <c r="A645" s="21" t="s">
        <v>968</v>
      </c>
      <c r="B645" s="15" t="s">
        <v>1081</v>
      </c>
      <c r="C645" s="21" t="s">
        <v>990</v>
      </c>
      <c r="D645" s="21" t="s">
        <v>1082</v>
      </c>
      <c r="E645" s="35" t="n">
        <v>117000</v>
      </c>
      <c r="F645" s="35" t="n">
        <v>0</v>
      </c>
      <c r="G645" s="35" t="n">
        <v>16670313</v>
      </c>
      <c r="H645" s="36" t="s">
        <v>149</v>
      </c>
    </row>
    <row r="646" customFormat="false" ht="17.15" hidden="false" customHeight="false" outlineLevel="0" collapsed="false">
      <c r="A646" s="21" t="s">
        <v>968</v>
      </c>
      <c r="B646" s="15" t="s">
        <v>1081</v>
      </c>
      <c r="C646" s="21" t="s">
        <v>990</v>
      </c>
      <c r="D646" s="21" t="s">
        <v>1083</v>
      </c>
      <c r="E646" s="35" t="n">
        <v>84000</v>
      </c>
      <c r="F646" s="35" t="n">
        <v>0</v>
      </c>
      <c r="G646" s="35" t="n">
        <v>16787313</v>
      </c>
      <c r="H646" s="37" t="s">
        <v>176</v>
      </c>
    </row>
    <row r="647" customFormat="false" ht="17.15" hidden="false" customHeight="false" outlineLevel="0" collapsed="false">
      <c r="A647" s="21" t="s">
        <v>968</v>
      </c>
      <c r="B647" s="15" t="s">
        <v>1081</v>
      </c>
      <c r="C647" s="21" t="s">
        <v>990</v>
      </c>
      <c r="D647" s="21" t="s">
        <v>1084</v>
      </c>
      <c r="E647" s="35" t="n">
        <v>88000</v>
      </c>
      <c r="F647" s="35" t="n">
        <v>0</v>
      </c>
      <c r="G647" s="35" t="n">
        <v>16871313</v>
      </c>
      <c r="H647" s="37" t="s">
        <v>176</v>
      </c>
    </row>
    <row r="648" customFormat="false" ht="17.15" hidden="false" customHeight="false" outlineLevel="0" collapsed="false">
      <c r="A648" s="21" t="s">
        <v>968</v>
      </c>
      <c r="B648" s="15" t="s">
        <v>1081</v>
      </c>
      <c r="C648" s="21" t="s">
        <v>990</v>
      </c>
      <c r="D648" s="21" t="s">
        <v>1085</v>
      </c>
      <c r="E648" s="35" t="n">
        <v>516120</v>
      </c>
      <c r="F648" s="35" t="n">
        <v>0</v>
      </c>
      <c r="G648" s="35" t="n">
        <v>16959313</v>
      </c>
      <c r="H648" s="36" t="s">
        <v>141</v>
      </c>
    </row>
    <row r="649" customFormat="false" ht="17.15" hidden="false" customHeight="false" outlineLevel="0" collapsed="false">
      <c r="A649" s="21" t="s">
        <v>968</v>
      </c>
      <c r="B649" s="15" t="s">
        <v>1081</v>
      </c>
      <c r="C649" s="21" t="s">
        <v>990</v>
      </c>
      <c r="D649" s="21" t="s">
        <v>1086</v>
      </c>
      <c r="E649" s="35" t="n">
        <v>440000</v>
      </c>
      <c r="F649" s="35" t="n">
        <v>0</v>
      </c>
      <c r="G649" s="35" t="n">
        <v>17475433</v>
      </c>
      <c r="H649" s="36" t="s">
        <v>149</v>
      </c>
    </row>
    <row r="650" customFormat="false" ht="17.15" hidden="false" customHeight="false" outlineLevel="0" collapsed="false">
      <c r="A650" s="30" t="s">
        <v>968</v>
      </c>
      <c r="B650" s="29" t="s">
        <v>1087</v>
      </c>
      <c r="C650" s="30" t="s">
        <v>990</v>
      </c>
      <c r="D650" s="30" t="s">
        <v>1037</v>
      </c>
      <c r="E650" s="33" t="n">
        <v>0</v>
      </c>
      <c r="F650" s="33" t="n">
        <v>886248</v>
      </c>
      <c r="G650" s="33" t="n">
        <v>17915433</v>
      </c>
      <c r="H650" s="34" t="s">
        <v>132</v>
      </c>
    </row>
    <row r="651" customFormat="false" ht="17.15" hidden="false" customHeight="false" outlineLevel="0" collapsed="false">
      <c r="A651" s="21" t="s">
        <v>968</v>
      </c>
      <c r="B651" s="15" t="s">
        <v>1088</v>
      </c>
      <c r="C651" s="21" t="s">
        <v>974</v>
      </c>
      <c r="D651" s="21" t="s">
        <v>1089</v>
      </c>
      <c r="E651" s="35" t="n">
        <v>33000</v>
      </c>
      <c r="F651" s="35" t="n">
        <v>0</v>
      </c>
      <c r="G651" s="35" t="n">
        <v>17029185</v>
      </c>
      <c r="H651" s="37" t="s">
        <v>176</v>
      </c>
    </row>
    <row r="652" customFormat="false" ht="17.15" hidden="false" customHeight="false" outlineLevel="0" collapsed="false">
      <c r="A652" s="21" t="s">
        <v>968</v>
      </c>
      <c r="B652" s="15" t="s">
        <v>1088</v>
      </c>
      <c r="C652" s="21" t="s">
        <v>974</v>
      </c>
      <c r="D652" s="21" t="s">
        <v>1090</v>
      </c>
      <c r="E652" s="35" t="n">
        <v>264000</v>
      </c>
      <c r="F652" s="35" t="n">
        <v>0</v>
      </c>
      <c r="G652" s="35" t="n">
        <v>17062185</v>
      </c>
      <c r="H652" s="37" t="s">
        <v>176</v>
      </c>
    </row>
    <row r="653" customFormat="false" ht="17.15" hidden="false" customHeight="false" outlineLevel="0" collapsed="false">
      <c r="A653" s="21" t="s">
        <v>968</v>
      </c>
      <c r="B653" s="15" t="s">
        <v>1088</v>
      </c>
      <c r="C653" s="21" t="s">
        <v>974</v>
      </c>
      <c r="D653" s="21" t="s">
        <v>1091</v>
      </c>
      <c r="E653" s="35" t="n">
        <v>110000</v>
      </c>
      <c r="F653" s="35" t="n">
        <v>0</v>
      </c>
      <c r="G653" s="35" t="n">
        <v>17326185</v>
      </c>
      <c r="H653" s="37" t="s">
        <v>176</v>
      </c>
    </row>
    <row r="654" customFormat="false" ht="17.15" hidden="false" customHeight="false" outlineLevel="0" collapsed="false">
      <c r="A654" s="21" t="s">
        <v>968</v>
      </c>
      <c r="B654" s="15" t="s">
        <v>1088</v>
      </c>
      <c r="C654" s="21" t="s">
        <v>974</v>
      </c>
      <c r="D654" s="21" t="s">
        <v>1092</v>
      </c>
      <c r="E654" s="35" t="n">
        <v>110000</v>
      </c>
      <c r="F654" s="35" t="n">
        <v>0</v>
      </c>
      <c r="G654" s="35" t="n">
        <v>17436185</v>
      </c>
      <c r="H654" s="37" t="s">
        <v>176</v>
      </c>
    </row>
    <row r="655" customFormat="false" ht="17.15" hidden="false" customHeight="false" outlineLevel="0" collapsed="false">
      <c r="A655" s="21" t="s">
        <v>968</v>
      </c>
      <c r="B655" s="15" t="s">
        <v>1093</v>
      </c>
      <c r="C655" s="21" t="s">
        <v>990</v>
      </c>
      <c r="D655" s="21" t="s">
        <v>1094</v>
      </c>
      <c r="E655" s="35" t="n">
        <v>844630</v>
      </c>
      <c r="F655" s="35" t="n">
        <v>0</v>
      </c>
      <c r="G655" s="35" t="n">
        <v>17546185</v>
      </c>
      <c r="H655" s="36" t="s">
        <v>1095</v>
      </c>
    </row>
    <row r="656" customFormat="false" ht="15" hidden="false" customHeight="false" outlineLevel="0" collapsed="false">
      <c r="A656" s="21" t="s">
        <v>968</v>
      </c>
      <c r="B656" s="15" t="s">
        <v>1096</v>
      </c>
      <c r="C656" s="21" t="s">
        <v>980</v>
      </c>
      <c r="D656" s="15" t="s">
        <v>982</v>
      </c>
      <c r="E656" s="35" t="n">
        <v>290499</v>
      </c>
      <c r="F656" s="35" t="n">
        <v>0</v>
      </c>
      <c r="G656" s="35" t="n">
        <v>18390815</v>
      </c>
      <c r="H656" s="36" t="s">
        <v>198</v>
      </c>
    </row>
    <row r="657" customFormat="false" ht="15" hidden="false" customHeight="false" outlineLevel="0" collapsed="false">
      <c r="A657" s="21" t="s">
        <v>968</v>
      </c>
      <c r="B657" s="15" t="s">
        <v>1096</v>
      </c>
      <c r="C657" s="21" t="s">
        <v>980</v>
      </c>
      <c r="D657" s="15" t="s">
        <v>983</v>
      </c>
      <c r="E657" s="35" t="n">
        <v>193666</v>
      </c>
      <c r="F657" s="35" t="n">
        <v>0</v>
      </c>
      <c r="G657" s="35" t="n">
        <v>18681314</v>
      </c>
      <c r="H657" s="36" t="s">
        <v>198</v>
      </c>
    </row>
    <row r="658" customFormat="false" ht="15" hidden="false" customHeight="false" outlineLevel="0" collapsed="false">
      <c r="A658" s="21" t="s">
        <v>968</v>
      </c>
      <c r="B658" s="15" t="s">
        <v>1096</v>
      </c>
      <c r="C658" s="21" t="s">
        <v>980</v>
      </c>
      <c r="D658" s="15" t="s">
        <v>984</v>
      </c>
      <c r="E658" s="35" t="n">
        <v>895246</v>
      </c>
      <c r="F658" s="35" t="n">
        <v>0</v>
      </c>
      <c r="G658" s="35" t="n">
        <v>18874980</v>
      </c>
      <c r="H658" s="36" t="s">
        <v>198</v>
      </c>
    </row>
    <row r="659" customFormat="false" ht="15" hidden="false" customHeight="false" outlineLevel="0" collapsed="false">
      <c r="A659" s="21" t="s">
        <v>968</v>
      </c>
      <c r="B659" s="15" t="s">
        <v>1096</v>
      </c>
      <c r="C659" s="21" t="s">
        <v>980</v>
      </c>
      <c r="D659" s="15" t="s">
        <v>981</v>
      </c>
      <c r="E659" s="35" t="n">
        <v>5535484</v>
      </c>
      <c r="F659" s="35" t="n">
        <v>0</v>
      </c>
      <c r="G659" s="35" t="n">
        <v>19770226</v>
      </c>
      <c r="H659" s="36" t="s">
        <v>198</v>
      </c>
    </row>
    <row r="660" customFormat="false" ht="15" hidden="false" customHeight="false" outlineLevel="0" collapsed="false">
      <c r="A660" s="21" t="s">
        <v>968</v>
      </c>
      <c r="B660" s="15" t="s">
        <v>1096</v>
      </c>
      <c r="C660" s="21" t="s">
        <v>980</v>
      </c>
      <c r="D660" s="15" t="s">
        <v>985</v>
      </c>
      <c r="E660" s="35" t="n">
        <v>760136</v>
      </c>
      <c r="F660" s="35" t="n">
        <v>0</v>
      </c>
      <c r="G660" s="35" t="n">
        <v>25305710</v>
      </c>
      <c r="H660" s="36" t="s">
        <v>198</v>
      </c>
    </row>
    <row r="661" customFormat="false" ht="17.15" hidden="false" customHeight="false" outlineLevel="0" collapsed="false">
      <c r="A661" s="21" t="s">
        <v>968</v>
      </c>
      <c r="B661" s="15" t="s">
        <v>1097</v>
      </c>
      <c r="C661" s="15" t="s">
        <v>170</v>
      </c>
      <c r="D661" s="21" t="s">
        <v>988</v>
      </c>
      <c r="E661" s="35" t="n">
        <v>44000</v>
      </c>
      <c r="F661" s="35" t="n">
        <v>0</v>
      </c>
      <c r="G661" s="35" t="n">
        <v>26065846</v>
      </c>
      <c r="H661" s="36" t="s">
        <v>494</v>
      </c>
    </row>
    <row r="662" customFormat="false" ht="17.15" hidden="false" customHeight="false" outlineLevel="0" collapsed="false">
      <c r="A662" s="30" t="s">
        <v>968</v>
      </c>
      <c r="B662" s="29" t="s">
        <v>1098</v>
      </c>
      <c r="C662" s="29" t="s">
        <v>1099</v>
      </c>
      <c r="D662" s="30" t="s">
        <v>995</v>
      </c>
      <c r="E662" s="33" t="n">
        <v>0</v>
      </c>
      <c r="F662" s="33" t="n">
        <v>3461394</v>
      </c>
      <c r="G662" s="33" t="n">
        <v>26109846</v>
      </c>
      <c r="H662" s="34" t="s">
        <v>132</v>
      </c>
    </row>
    <row r="663" customFormat="false" ht="17.15" hidden="false" customHeight="false" outlineLevel="0" collapsed="false">
      <c r="A663" s="21" t="s">
        <v>968</v>
      </c>
      <c r="B663" s="15" t="s">
        <v>1100</v>
      </c>
      <c r="C663" s="15" t="s">
        <v>1062</v>
      </c>
      <c r="D663" s="21" t="s">
        <v>995</v>
      </c>
      <c r="E663" s="35" t="n">
        <v>3461394</v>
      </c>
      <c r="F663" s="35" t="n">
        <v>0</v>
      </c>
      <c r="G663" s="35" t="n">
        <v>22648452</v>
      </c>
      <c r="H663" s="36" t="s">
        <v>184</v>
      </c>
    </row>
    <row r="664" customFormat="false" ht="15" hidden="false" customHeight="false" outlineLevel="0" collapsed="false">
      <c r="A664" s="21" t="s">
        <v>968</v>
      </c>
      <c r="B664" s="15" t="s">
        <v>1101</v>
      </c>
      <c r="C664" s="21" t="s">
        <v>1102</v>
      </c>
      <c r="D664" s="21" t="s">
        <v>995</v>
      </c>
      <c r="E664" s="35" t="n">
        <v>3461394</v>
      </c>
      <c r="F664" s="35" t="n">
        <v>0</v>
      </c>
      <c r="G664" s="35" t="n">
        <v>26109846</v>
      </c>
      <c r="H664" s="36" t="s">
        <v>184</v>
      </c>
    </row>
    <row r="665" customFormat="false" ht="17.15" hidden="false" customHeight="false" outlineLevel="0" collapsed="false">
      <c r="A665" s="21" t="s">
        <v>968</v>
      </c>
      <c r="B665" s="15" t="s">
        <v>1103</v>
      </c>
      <c r="C665" s="15" t="s">
        <v>1104</v>
      </c>
      <c r="D665" s="21" t="s">
        <v>1105</v>
      </c>
      <c r="E665" s="35" t="n">
        <v>428760</v>
      </c>
      <c r="F665" s="35" t="n">
        <v>0</v>
      </c>
      <c r="G665" s="35" t="n">
        <v>29571240</v>
      </c>
      <c r="H665" s="36" t="s">
        <v>219</v>
      </c>
    </row>
    <row r="666" customFormat="false" ht="17.15" hidden="false" customHeight="false" outlineLevel="0" collapsed="false">
      <c r="A666" s="30" t="s">
        <v>968</v>
      </c>
      <c r="B666" s="29" t="s">
        <v>1106</v>
      </c>
      <c r="C666" s="30" t="s">
        <v>990</v>
      </c>
      <c r="D666" s="30" t="s">
        <v>617</v>
      </c>
      <c r="E666" s="33" t="n">
        <v>0</v>
      </c>
      <c r="F666" s="33" t="n">
        <v>30000000</v>
      </c>
      <c r="G666" s="33" t="n">
        <v>30000000</v>
      </c>
      <c r="H666" s="34" t="s">
        <v>454</v>
      </c>
    </row>
    <row r="667" customFormat="false" ht="17.15" hidden="false" customHeight="false" outlineLevel="0" collapsed="false">
      <c r="A667" s="21" t="s">
        <v>968</v>
      </c>
      <c r="B667" s="15" t="s">
        <v>1107</v>
      </c>
      <c r="C667" s="15" t="s">
        <v>1062</v>
      </c>
      <c r="D667" s="21" t="s">
        <v>995</v>
      </c>
      <c r="E667" s="35" t="n">
        <v>4405213</v>
      </c>
      <c r="F667" s="35" t="n">
        <v>0</v>
      </c>
      <c r="G667" s="35" t="n">
        <v>0</v>
      </c>
      <c r="H667" s="36" t="s">
        <v>184</v>
      </c>
    </row>
    <row r="668" customFormat="false" ht="15" hidden="false" customHeight="false" outlineLevel="0" collapsed="false">
      <c r="A668" s="21" t="s">
        <v>968</v>
      </c>
      <c r="B668" s="15" t="s">
        <v>1108</v>
      </c>
      <c r="C668" s="21" t="s">
        <v>163</v>
      </c>
      <c r="D668" s="15" t="s">
        <v>997</v>
      </c>
      <c r="E668" s="35" t="n">
        <v>33000</v>
      </c>
      <c r="F668" s="35" t="n">
        <v>0</v>
      </c>
      <c r="G668" s="35" t="n">
        <v>4405213</v>
      </c>
      <c r="H668" s="36" t="s">
        <v>165</v>
      </c>
    </row>
    <row r="669" customFormat="false" ht="17.15" hidden="false" customHeight="false" outlineLevel="0" collapsed="false">
      <c r="A669" s="21" t="s">
        <v>968</v>
      </c>
      <c r="B669" s="15" t="s">
        <v>1109</v>
      </c>
      <c r="C669" s="21" t="s">
        <v>990</v>
      </c>
      <c r="D669" s="21" t="s">
        <v>1110</v>
      </c>
      <c r="E669" s="35" t="n">
        <v>319110</v>
      </c>
      <c r="F669" s="35" t="n">
        <v>0</v>
      </c>
      <c r="G669" s="35" t="n">
        <v>4438213</v>
      </c>
      <c r="H669" s="37" t="s">
        <v>176</v>
      </c>
    </row>
    <row r="670" customFormat="false" ht="17.15" hidden="false" customHeight="false" outlineLevel="0" collapsed="false">
      <c r="A670" s="38" t="s">
        <v>968</v>
      </c>
      <c r="B670" s="39" t="s">
        <v>1111</v>
      </c>
      <c r="C670" s="38" t="s">
        <v>250</v>
      </c>
      <c r="D670" s="39" t="s">
        <v>1112</v>
      </c>
      <c r="E670" s="40" t="n">
        <v>3000000</v>
      </c>
      <c r="F670" s="40" t="n">
        <v>0</v>
      </c>
      <c r="G670" s="40" t="n">
        <v>4757323</v>
      </c>
      <c r="H670" s="41" t="s">
        <v>1113</v>
      </c>
    </row>
    <row r="671" customFormat="false" ht="17.15" hidden="false" customHeight="false" outlineLevel="0" collapsed="false">
      <c r="A671" s="21" t="s">
        <v>968</v>
      </c>
      <c r="B671" s="15" t="s">
        <v>1114</v>
      </c>
      <c r="C671" s="15" t="s">
        <v>1062</v>
      </c>
      <c r="D671" s="21" t="s">
        <v>1115</v>
      </c>
      <c r="E671" s="35" t="n">
        <v>21500</v>
      </c>
      <c r="F671" s="35" t="n">
        <v>0</v>
      </c>
      <c r="G671" s="35" t="n">
        <v>7757323</v>
      </c>
      <c r="H671" s="36" t="s">
        <v>252</v>
      </c>
    </row>
    <row r="672" customFormat="false" ht="17.15" hidden="false" customHeight="false" outlineLevel="0" collapsed="false">
      <c r="A672" s="21" t="s">
        <v>968</v>
      </c>
      <c r="B672" s="15" t="s">
        <v>1116</v>
      </c>
      <c r="C672" s="21" t="s">
        <v>1001</v>
      </c>
      <c r="D672" s="15" t="s">
        <v>1117</v>
      </c>
      <c r="E672" s="35" t="n">
        <v>364180</v>
      </c>
      <c r="F672" s="35" t="n">
        <v>0</v>
      </c>
      <c r="G672" s="35" t="n">
        <v>7778823</v>
      </c>
      <c r="H672" s="36" t="s">
        <v>1003</v>
      </c>
    </row>
    <row r="673" customFormat="false" ht="17.15" hidden="false" customHeight="false" outlineLevel="0" collapsed="false">
      <c r="A673" s="21" t="s">
        <v>968</v>
      </c>
      <c r="B673" s="15" t="s">
        <v>1118</v>
      </c>
      <c r="C673" s="21" t="s">
        <v>1001</v>
      </c>
      <c r="D673" s="15" t="s">
        <v>1119</v>
      </c>
      <c r="E673" s="35" t="n">
        <v>2960020</v>
      </c>
      <c r="F673" s="35" t="n">
        <v>0</v>
      </c>
      <c r="G673" s="35" t="n">
        <v>8143003</v>
      </c>
      <c r="H673" s="36" t="s">
        <v>1003</v>
      </c>
    </row>
    <row r="674" customFormat="false" ht="17.15" hidden="false" customHeight="false" outlineLevel="0" collapsed="false">
      <c r="A674" s="21" t="s">
        <v>968</v>
      </c>
      <c r="B674" s="15" t="s">
        <v>1118</v>
      </c>
      <c r="C674" s="21" t="s">
        <v>1001</v>
      </c>
      <c r="D674" s="15" t="s">
        <v>1120</v>
      </c>
      <c r="E674" s="35" t="n">
        <v>276530</v>
      </c>
      <c r="F674" s="35" t="n">
        <v>0</v>
      </c>
      <c r="G674" s="35" t="n">
        <v>11103023</v>
      </c>
      <c r="H674" s="36" t="s">
        <v>1003</v>
      </c>
    </row>
    <row r="675" customFormat="false" ht="17.15" hidden="false" customHeight="false" outlineLevel="0" collapsed="false">
      <c r="A675" s="21" t="s">
        <v>968</v>
      </c>
      <c r="B675" s="15" t="s">
        <v>1118</v>
      </c>
      <c r="C675" s="21" t="s">
        <v>1001</v>
      </c>
      <c r="D675" s="15" t="s">
        <v>1121</v>
      </c>
      <c r="E675" s="35" t="n">
        <v>2084340</v>
      </c>
      <c r="F675" s="35" t="n">
        <v>0</v>
      </c>
      <c r="G675" s="35" t="n">
        <v>11379553</v>
      </c>
      <c r="H675" s="36" t="s">
        <v>1003</v>
      </c>
    </row>
    <row r="676" customFormat="false" ht="17.15" hidden="false" customHeight="false" outlineLevel="0" collapsed="false">
      <c r="A676" s="38" t="s">
        <v>968</v>
      </c>
      <c r="B676" s="39" t="s">
        <v>1122</v>
      </c>
      <c r="C676" s="38" t="s">
        <v>990</v>
      </c>
      <c r="D676" s="38" t="s">
        <v>447</v>
      </c>
      <c r="E676" s="40" t="n">
        <v>6695000</v>
      </c>
      <c r="F676" s="40" t="n">
        <v>0</v>
      </c>
      <c r="G676" s="40" t="n">
        <v>13463893</v>
      </c>
      <c r="H676" s="41" t="s">
        <v>448</v>
      </c>
    </row>
    <row r="677" customFormat="false" ht="17.15" hidden="false" customHeight="false" outlineLevel="0" collapsed="false">
      <c r="A677" s="21" t="s">
        <v>968</v>
      </c>
      <c r="B677" s="15" t="s">
        <v>1122</v>
      </c>
      <c r="C677" s="21" t="s">
        <v>990</v>
      </c>
      <c r="D677" s="15" t="s">
        <v>1123</v>
      </c>
      <c r="E677" s="35" t="n">
        <v>1858870</v>
      </c>
      <c r="F677" s="35" t="n">
        <v>0</v>
      </c>
      <c r="G677" s="35" t="n">
        <v>20158893</v>
      </c>
      <c r="H677" s="36" t="s">
        <v>224</v>
      </c>
    </row>
    <row r="678" customFormat="false" ht="17.15" hidden="false" customHeight="false" outlineLevel="0" collapsed="false">
      <c r="A678" s="21" t="s">
        <v>968</v>
      </c>
      <c r="B678" s="15" t="s">
        <v>1122</v>
      </c>
      <c r="C678" s="21" t="s">
        <v>990</v>
      </c>
      <c r="D678" s="15" t="s">
        <v>1124</v>
      </c>
      <c r="E678" s="35" t="n">
        <v>1858900</v>
      </c>
      <c r="F678" s="35" t="n">
        <v>0</v>
      </c>
      <c r="G678" s="35" t="n">
        <v>22017763</v>
      </c>
      <c r="H678" s="36" t="s">
        <v>224</v>
      </c>
    </row>
    <row r="679" customFormat="false" ht="17.15" hidden="false" customHeight="false" outlineLevel="0" collapsed="false">
      <c r="A679" s="21" t="s">
        <v>968</v>
      </c>
      <c r="B679" s="15" t="s">
        <v>1122</v>
      </c>
      <c r="C679" s="21" t="s">
        <v>990</v>
      </c>
      <c r="D679" s="21" t="s">
        <v>1125</v>
      </c>
      <c r="E679" s="35" t="n">
        <v>1897700</v>
      </c>
      <c r="F679" s="35" t="n">
        <v>0</v>
      </c>
      <c r="G679" s="35" t="n">
        <v>23876663</v>
      </c>
      <c r="H679" s="36" t="s">
        <v>224</v>
      </c>
    </row>
    <row r="680" customFormat="false" ht="17.15" hidden="false" customHeight="false" outlineLevel="0" collapsed="false">
      <c r="A680" s="21" t="s">
        <v>968</v>
      </c>
      <c r="B680" s="15" t="s">
        <v>1122</v>
      </c>
      <c r="C680" s="21" t="s">
        <v>990</v>
      </c>
      <c r="D680" s="21" t="s">
        <v>1126</v>
      </c>
      <c r="E680" s="35" t="n">
        <v>2089440</v>
      </c>
      <c r="F680" s="35" t="n">
        <v>0</v>
      </c>
      <c r="G680" s="35" t="n">
        <v>25774363</v>
      </c>
      <c r="H680" s="36" t="s">
        <v>224</v>
      </c>
    </row>
    <row r="681" customFormat="false" ht="17.15" hidden="false" customHeight="false" outlineLevel="0" collapsed="false">
      <c r="A681" s="21" t="s">
        <v>968</v>
      </c>
      <c r="B681" s="15" t="s">
        <v>1122</v>
      </c>
      <c r="C681" s="21" t="s">
        <v>990</v>
      </c>
      <c r="D681" s="21" t="s">
        <v>1127</v>
      </c>
      <c r="E681" s="35" t="n">
        <v>2426740</v>
      </c>
      <c r="F681" s="35" t="n">
        <v>0</v>
      </c>
      <c r="G681" s="35" t="n">
        <v>27863803</v>
      </c>
      <c r="H681" s="36" t="s">
        <v>224</v>
      </c>
    </row>
    <row r="682" customFormat="false" ht="17.15" hidden="false" customHeight="false" outlineLevel="0" collapsed="false">
      <c r="A682" s="21" t="s">
        <v>968</v>
      </c>
      <c r="B682" s="15" t="s">
        <v>1122</v>
      </c>
      <c r="C682" s="21" t="s">
        <v>990</v>
      </c>
      <c r="D682" s="15" t="s">
        <v>1128</v>
      </c>
      <c r="E682" s="35" t="n">
        <v>4281330</v>
      </c>
      <c r="F682" s="35" t="n">
        <v>0</v>
      </c>
      <c r="G682" s="35" t="n">
        <v>30290543</v>
      </c>
      <c r="H682" s="36" t="s">
        <v>224</v>
      </c>
    </row>
    <row r="683" customFormat="false" ht="17.15" hidden="false" customHeight="false" outlineLevel="0" collapsed="false">
      <c r="A683" s="21" t="s">
        <v>968</v>
      </c>
      <c r="B683" s="15" t="s">
        <v>1122</v>
      </c>
      <c r="C683" s="21" t="s">
        <v>990</v>
      </c>
      <c r="D683" s="21" t="s">
        <v>1129</v>
      </c>
      <c r="E683" s="35" t="n">
        <v>3282690</v>
      </c>
      <c r="F683" s="35" t="n">
        <v>0</v>
      </c>
      <c r="G683" s="35" t="n">
        <v>34571873</v>
      </c>
      <c r="H683" s="36" t="s">
        <v>224</v>
      </c>
    </row>
    <row r="684" customFormat="false" ht="17.15" hidden="false" customHeight="false" outlineLevel="0" collapsed="false">
      <c r="A684" s="21" t="s">
        <v>968</v>
      </c>
      <c r="B684" s="15" t="s">
        <v>1122</v>
      </c>
      <c r="C684" s="21" t="s">
        <v>990</v>
      </c>
      <c r="D684" s="21" t="s">
        <v>1130</v>
      </c>
      <c r="E684" s="35" t="n">
        <v>4066170</v>
      </c>
      <c r="F684" s="35" t="n">
        <v>0</v>
      </c>
      <c r="G684" s="35" t="n">
        <v>37854563</v>
      </c>
      <c r="H684" s="36" t="s">
        <v>224</v>
      </c>
    </row>
    <row r="685" customFormat="false" ht="17.15" hidden="false" customHeight="false" outlineLevel="0" collapsed="false">
      <c r="A685" s="21" t="s">
        <v>968</v>
      </c>
      <c r="B685" s="15" t="s">
        <v>1122</v>
      </c>
      <c r="C685" s="21" t="s">
        <v>990</v>
      </c>
      <c r="D685" s="21" t="s">
        <v>1131</v>
      </c>
      <c r="E685" s="35" t="n">
        <v>3126520</v>
      </c>
      <c r="F685" s="35" t="n">
        <v>0</v>
      </c>
      <c r="G685" s="35" t="n">
        <v>41920733</v>
      </c>
      <c r="H685" s="36" t="s">
        <v>224</v>
      </c>
    </row>
    <row r="686" customFormat="false" ht="17.15" hidden="false" customHeight="false" outlineLevel="0" collapsed="false">
      <c r="A686" s="21" t="s">
        <v>968</v>
      </c>
      <c r="B686" s="15" t="s">
        <v>1122</v>
      </c>
      <c r="C686" s="21" t="s">
        <v>990</v>
      </c>
      <c r="D686" s="21" t="s">
        <v>1132</v>
      </c>
      <c r="E686" s="35" t="n">
        <v>3071670</v>
      </c>
      <c r="F686" s="35" t="n">
        <v>0</v>
      </c>
      <c r="G686" s="35" t="n">
        <v>45047253</v>
      </c>
      <c r="H686" s="36" t="s">
        <v>224</v>
      </c>
    </row>
    <row r="687" customFormat="false" ht="17.15" hidden="false" customHeight="false" outlineLevel="0" collapsed="false">
      <c r="A687" s="30" t="s">
        <v>968</v>
      </c>
      <c r="B687" s="29" t="s">
        <v>1133</v>
      </c>
      <c r="C687" s="30" t="s">
        <v>990</v>
      </c>
      <c r="D687" s="30" t="s">
        <v>617</v>
      </c>
      <c r="E687" s="33" t="n">
        <v>0</v>
      </c>
      <c r="F687" s="33" t="n">
        <v>30000000</v>
      </c>
      <c r="G687" s="33" t="n">
        <v>48118923</v>
      </c>
      <c r="H687" s="34" t="s">
        <v>454</v>
      </c>
    </row>
    <row r="688" customFormat="false" ht="17.15" hidden="false" customHeight="false" outlineLevel="0" collapsed="false">
      <c r="A688" s="21" t="s">
        <v>968</v>
      </c>
      <c r="B688" s="15" t="s">
        <v>1134</v>
      </c>
      <c r="C688" s="15" t="s">
        <v>1062</v>
      </c>
      <c r="D688" s="21" t="s">
        <v>1009</v>
      </c>
      <c r="E688" s="35" t="n">
        <v>165000</v>
      </c>
      <c r="F688" s="35" t="n">
        <v>0</v>
      </c>
      <c r="G688" s="35" t="n">
        <v>18118923</v>
      </c>
      <c r="H688" s="36" t="s">
        <v>492</v>
      </c>
    </row>
    <row r="689" customFormat="false" ht="17.15" hidden="false" customHeight="false" outlineLevel="0" collapsed="false">
      <c r="A689" s="21" t="s">
        <v>968</v>
      </c>
      <c r="B689" s="15" t="s">
        <v>1135</v>
      </c>
      <c r="C689" s="21" t="s">
        <v>1011</v>
      </c>
      <c r="D689" s="15" t="s">
        <v>1136</v>
      </c>
      <c r="E689" s="35" t="n">
        <v>4668310</v>
      </c>
      <c r="F689" s="35" t="n">
        <v>0</v>
      </c>
      <c r="G689" s="35" t="n">
        <v>18283923</v>
      </c>
      <c r="H689" s="36" t="s">
        <v>1013</v>
      </c>
    </row>
    <row r="690" customFormat="false" ht="17.15" hidden="false" customHeight="false" outlineLevel="0" collapsed="false">
      <c r="A690" s="30" t="s">
        <v>968</v>
      </c>
      <c r="B690" s="29" t="s">
        <v>1137</v>
      </c>
      <c r="C690" s="30" t="s">
        <v>1102</v>
      </c>
      <c r="D690" s="30" t="s">
        <v>1138</v>
      </c>
      <c r="E690" s="33" t="n">
        <v>0</v>
      </c>
      <c r="F690" s="33" t="n">
        <v>10000000</v>
      </c>
      <c r="G690" s="33" t="n">
        <v>22952233</v>
      </c>
      <c r="H690" s="34" t="s">
        <v>132</v>
      </c>
    </row>
    <row r="691" customFormat="false" ht="17.15" hidden="false" customHeight="false" outlineLevel="0" collapsed="false">
      <c r="A691" s="21" t="s">
        <v>968</v>
      </c>
      <c r="B691" s="15" t="s">
        <v>1139</v>
      </c>
      <c r="C691" s="21" t="s">
        <v>990</v>
      </c>
      <c r="D691" s="21" t="s">
        <v>1140</v>
      </c>
      <c r="E691" s="35" t="n">
        <v>495000</v>
      </c>
      <c r="F691" s="35" t="n">
        <v>0</v>
      </c>
      <c r="G691" s="35" t="n">
        <v>12952233</v>
      </c>
      <c r="H691" s="37" t="s">
        <v>176</v>
      </c>
    </row>
    <row r="692" customFormat="false" ht="17.15" hidden="false" customHeight="false" outlineLevel="0" collapsed="false">
      <c r="A692" s="21" t="s">
        <v>968</v>
      </c>
      <c r="B692" s="15" t="s">
        <v>1141</v>
      </c>
      <c r="C692" s="21" t="s">
        <v>970</v>
      </c>
      <c r="D692" s="15" t="s">
        <v>1142</v>
      </c>
      <c r="E692" s="35" t="n">
        <v>93240</v>
      </c>
      <c r="F692" s="35" t="n">
        <v>0</v>
      </c>
      <c r="G692" s="35" t="n">
        <v>13447233</v>
      </c>
      <c r="H692" s="36" t="s">
        <v>972</v>
      </c>
    </row>
    <row r="693" customFormat="false" ht="17.15" hidden="false" customHeight="false" outlineLevel="0" collapsed="false">
      <c r="A693" s="21" t="s">
        <v>968</v>
      </c>
      <c r="B693" s="15" t="s">
        <v>1141</v>
      </c>
      <c r="C693" s="21" t="s">
        <v>970</v>
      </c>
      <c r="D693" s="15" t="s">
        <v>1143</v>
      </c>
      <c r="E693" s="35" t="n">
        <v>91910</v>
      </c>
      <c r="F693" s="35" t="n">
        <v>0</v>
      </c>
      <c r="G693" s="35" t="n">
        <v>13540473</v>
      </c>
      <c r="H693" s="36" t="s">
        <v>972</v>
      </c>
    </row>
    <row r="694" customFormat="false" ht="17.15" hidden="false" customHeight="false" outlineLevel="0" collapsed="false">
      <c r="A694" s="21" t="s">
        <v>968</v>
      </c>
      <c r="B694" s="15" t="s">
        <v>1144</v>
      </c>
      <c r="C694" s="21" t="s">
        <v>990</v>
      </c>
      <c r="D694" s="21" t="s">
        <v>1145</v>
      </c>
      <c r="E694" s="35" t="n">
        <v>154000</v>
      </c>
      <c r="F694" s="35" t="n">
        <v>0</v>
      </c>
      <c r="G694" s="35" t="n">
        <v>13632383</v>
      </c>
      <c r="H694" s="37" t="s">
        <v>176</v>
      </c>
    </row>
    <row r="695" customFormat="false" ht="17.15" hidden="false" customHeight="false" outlineLevel="0" collapsed="false">
      <c r="A695" s="21" t="s">
        <v>968</v>
      </c>
      <c r="B695" s="15" t="s">
        <v>1144</v>
      </c>
      <c r="C695" s="21" t="s">
        <v>990</v>
      </c>
      <c r="D695" s="21" t="s">
        <v>1146</v>
      </c>
      <c r="E695" s="35" t="n">
        <v>63000</v>
      </c>
      <c r="F695" s="35" t="n">
        <v>0</v>
      </c>
      <c r="G695" s="35" t="n">
        <v>13786383</v>
      </c>
      <c r="H695" s="36" t="s">
        <v>141</v>
      </c>
    </row>
    <row r="696" customFormat="false" ht="17.15" hidden="false" customHeight="false" outlineLevel="0" collapsed="false">
      <c r="A696" s="21" t="s">
        <v>968</v>
      </c>
      <c r="B696" s="15" t="s">
        <v>1144</v>
      </c>
      <c r="C696" s="21" t="s">
        <v>990</v>
      </c>
      <c r="D696" s="21" t="s">
        <v>1147</v>
      </c>
      <c r="E696" s="35" t="n">
        <v>134000</v>
      </c>
      <c r="F696" s="35" t="n">
        <v>0</v>
      </c>
      <c r="G696" s="35" t="n">
        <v>13849383</v>
      </c>
      <c r="H696" s="36" t="s">
        <v>149</v>
      </c>
    </row>
    <row r="697" customFormat="false" ht="17.15" hidden="false" customHeight="false" outlineLevel="0" collapsed="false">
      <c r="A697" s="21" t="s">
        <v>968</v>
      </c>
      <c r="B697" s="15" t="s">
        <v>1144</v>
      </c>
      <c r="C697" s="21" t="s">
        <v>990</v>
      </c>
      <c r="D697" s="21" t="s">
        <v>1148</v>
      </c>
      <c r="E697" s="35" t="n">
        <v>96180</v>
      </c>
      <c r="F697" s="35" t="n">
        <v>0</v>
      </c>
      <c r="G697" s="35" t="n">
        <v>13983383</v>
      </c>
      <c r="H697" s="37" t="s">
        <v>176</v>
      </c>
    </row>
    <row r="698" customFormat="false" ht="17.15" hidden="false" customHeight="false" outlineLevel="0" collapsed="false">
      <c r="A698" s="21" t="s">
        <v>968</v>
      </c>
      <c r="B698" s="15" t="s">
        <v>1144</v>
      </c>
      <c r="C698" s="21" t="s">
        <v>990</v>
      </c>
      <c r="D698" s="21" t="s">
        <v>1149</v>
      </c>
      <c r="E698" s="35" t="n">
        <v>895509</v>
      </c>
      <c r="F698" s="35" t="n">
        <v>0</v>
      </c>
      <c r="G698" s="35" t="n">
        <v>14079563</v>
      </c>
      <c r="H698" s="36" t="s">
        <v>141</v>
      </c>
    </row>
    <row r="699" customFormat="false" ht="17.15" hidden="false" customHeight="false" outlineLevel="0" collapsed="false">
      <c r="A699" s="21" t="s">
        <v>968</v>
      </c>
      <c r="B699" s="15" t="s">
        <v>1144</v>
      </c>
      <c r="C699" s="21" t="s">
        <v>990</v>
      </c>
      <c r="D699" s="21" t="s">
        <v>1150</v>
      </c>
      <c r="E699" s="35" t="n">
        <v>253000</v>
      </c>
      <c r="F699" s="35" t="n">
        <v>0</v>
      </c>
      <c r="G699" s="35" t="n">
        <v>14975072</v>
      </c>
      <c r="H699" s="37" t="s">
        <v>176</v>
      </c>
    </row>
    <row r="700" customFormat="false" ht="17.15" hidden="false" customHeight="false" outlineLevel="0" collapsed="false">
      <c r="A700" s="21" t="s">
        <v>968</v>
      </c>
      <c r="B700" s="15" t="s">
        <v>1151</v>
      </c>
      <c r="C700" s="21" t="s">
        <v>974</v>
      </c>
      <c r="D700" s="21" t="s">
        <v>1090</v>
      </c>
      <c r="E700" s="35" t="n">
        <v>264000</v>
      </c>
      <c r="F700" s="35" t="n">
        <v>0</v>
      </c>
      <c r="G700" s="35" t="n">
        <v>15228072</v>
      </c>
      <c r="H700" s="37" t="s">
        <v>176</v>
      </c>
    </row>
    <row r="701" customFormat="false" ht="17.15" hidden="false" customHeight="false" outlineLevel="0" collapsed="false">
      <c r="A701" s="21" t="s">
        <v>968</v>
      </c>
      <c r="B701" s="15" t="s">
        <v>1151</v>
      </c>
      <c r="C701" s="21" t="s">
        <v>974</v>
      </c>
      <c r="D701" s="21" t="s">
        <v>1089</v>
      </c>
      <c r="E701" s="35" t="n">
        <v>33000</v>
      </c>
      <c r="F701" s="35" t="n">
        <v>0</v>
      </c>
      <c r="G701" s="35" t="n">
        <v>15492072</v>
      </c>
      <c r="H701" s="37" t="s">
        <v>176</v>
      </c>
    </row>
    <row r="702" customFormat="false" ht="17.15" hidden="false" customHeight="false" outlineLevel="0" collapsed="false">
      <c r="A702" s="21" t="s">
        <v>968</v>
      </c>
      <c r="B702" s="15" t="s">
        <v>1151</v>
      </c>
      <c r="C702" s="21" t="s">
        <v>974</v>
      </c>
      <c r="D702" s="21" t="s">
        <v>1091</v>
      </c>
      <c r="E702" s="35" t="n">
        <v>110000</v>
      </c>
      <c r="F702" s="35" t="n">
        <v>0</v>
      </c>
      <c r="G702" s="35" t="n">
        <v>15525072</v>
      </c>
      <c r="H702" s="37" t="s">
        <v>176</v>
      </c>
    </row>
    <row r="703" customFormat="false" ht="17.15" hidden="false" customHeight="false" outlineLevel="0" collapsed="false">
      <c r="A703" s="21" t="s">
        <v>968</v>
      </c>
      <c r="B703" s="15" t="s">
        <v>1151</v>
      </c>
      <c r="C703" s="21" t="s">
        <v>974</v>
      </c>
      <c r="D703" s="21" t="s">
        <v>1092</v>
      </c>
      <c r="E703" s="35" t="n">
        <v>110000</v>
      </c>
      <c r="F703" s="35" t="n">
        <v>0</v>
      </c>
      <c r="G703" s="35" t="n">
        <v>15635072</v>
      </c>
      <c r="H703" s="37" t="s">
        <v>176</v>
      </c>
    </row>
    <row r="704" customFormat="false" ht="15" hidden="false" customHeight="false" outlineLevel="0" collapsed="false">
      <c r="A704" s="21" t="s">
        <v>968</v>
      </c>
      <c r="B704" s="15" t="s">
        <v>1152</v>
      </c>
      <c r="C704" s="21" t="s">
        <v>980</v>
      </c>
      <c r="D704" s="15" t="s">
        <v>985</v>
      </c>
      <c r="E704" s="35" t="n">
        <v>686575</v>
      </c>
      <c r="F704" s="35" t="n">
        <v>0</v>
      </c>
      <c r="G704" s="35" t="n">
        <v>15745072</v>
      </c>
      <c r="H704" s="36" t="s">
        <v>198</v>
      </c>
    </row>
    <row r="705" customFormat="false" ht="15" hidden="false" customHeight="false" outlineLevel="0" collapsed="false">
      <c r="A705" s="21" t="s">
        <v>968</v>
      </c>
      <c r="B705" s="15" t="s">
        <v>1152</v>
      </c>
      <c r="C705" s="21" t="s">
        <v>980</v>
      </c>
      <c r="D705" s="15" t="s">
        <v>983</v>
      </c>
      <c r="E705" s="35" t="n">
        <v>174924</v>
      </c>
      <c r="F705" s="35" t="n">
        <v>0</v>
      </c>
      <c r="G705" s="35" t="n">
        <v>16431647</v>
      </c>
      <c r="H705" s="36" t="s">
        <v>198</v>
      </c>
    </row>
    <row r="706" customFormat="false" ht="15" hidden="false" customHeight="false" outlineLevel="0" collapsed="false">
      <c r="A706" s="21" t="s">
        <v>968</v>
      </c>
      <c r="B706" s="15" t="s">
        <v>1152</v>
      </c>
      <c r="C706" s="21" t="s">
        <v>980</v>
      </c>
      <c r="D706" s="15" t="s">
        <v>982</v>
      </c>
      <c r="E706" s="35" t="n">
        <v>262387</v>
      </c>
      <c r="F706" s="35" t="n">
        <v>0</v>
      </c>
      <c r="G706" s="35" t="n">
        <v>16606571</v>
      </c>
      <c r="H706" s="36" t="s">
        <v>198</v>
      </c>
    </row>
    <row r="707" customFormat="false" ht="15" hidden="false" customHeight="false" outlineLevel="0" collapsed="false">
      <c r="A707" s="21" t="s">
        <v>968</v>
      </c>
      <c r="B707" s="15" t="s">
        <v>1152</v>
      </c>
      <c r="C707" s="21" t="s">
        <v>980</v>
      </c>
      <c r="D707" s="15" t="s">
        <v>981</v>
      </c>
      <c r="E707" s="35" t="n">
        <v>5057490</v>
      </c>
      <c r="F707" s="35" t="n">
        <v>0</v>
      </c>
      <c r="G707" s="35" t="n">
        <v>16868958</v>
      </c>
      <c r="H707" s="36" t="s">
        <v>198</v>
      </c>
    </row>
    <row r="708" customFormat="false" ht="15" hidden="false" customHeight="false" outlineLevel="0" collapsed="false">
      <c r="A708" s="21" t="s">
        <v>968</v>
      </c>
      <c r="B708" s="15" t="s">
        <v>1152</v>
      </c>
      <c r="C708" s="21" t="s">
        <v>980</v>
      </c>
      <c r="D708" s="15" t="s">
        <v>984</v>
      </c>
      <c r="E708" s="35" t="n">
        <v>808609</v>
      </c>
      <c r="F708" s="35" t="n">
        <v>0</v>
      </c>
      <c r="G708" s="35" t="n">
        <v>21926448</v>
      </c>
      <c r="H708" s="36" t="s">
        <v>198</v>
      </c>
    </row>
    <row r="709" customFormat="false" ht="17.15" hidden="false" customHeight="false" outlineLevel="0" collapsed="false">
      <c r="A709" s="21" t="s">
        <v>968</v>
      </c>
      <c r="B709" s="15" t="s">
        <v>1153</v>
      </c>
      <c r="C709" s="21" t="s">
        <v>990</v>
      </c>
      <c r="D709" s="21" t="s">
        <v>1154</v>
      </c>
      <c r="E709" s="35" t="n">
        <v>1518990</v>
      </c>
      <c r="F709" s="35" t="n">
        <v>0</v>
      </c>
      <c r="G709" s="35" t="n">
        <v>22735057</v>
      </c>
      <c r="H709" s="36" t="s">
        <v>1095</v>
      </c>
    </row>
    <row r="710" customFormat="false" ht="17.15" hidden="false" customHeight="false" outlineLevel="0" collapsed="false">
      <c r="A710" s="30" t="s">
        <v>968</v>
      </c>
      <c r="B710" s="29" t="s">
        <v>1155</v>
      </c>
      <c r="C710" s="30" t="s">
        <v>88</v>
      </c>
      <c r="D710" s="30" t="s">
        <v>89</v>
      </c>
      <c r="E710" s="33" t="n">
        <v>0</v>
      </c>
      <c r="F710" s="33" t="n">
        <v>3037</v>
      </c>
      <c r="G710" s="33" t="n">
        <v>24254047</v>
      </c>
      <c r="H710" s="34" t="s">
        <v>443</v>
      </c>
    </row>
    <row r="711" customFormat="false" ht="17.15" hidden="false" customHeight="false" outlineLevel="0" collapsed="false">
      <c r="A711" s="21" t="s">
        <v>968</v>
      </c>
      <c r="B711" s="15" t="s">
        <v>1156</v>
      </c>
      <c r="C711" s="15" t="s">
        <v>170</v>
      </c>
      <c r="D711" s="21" t="s">
        <v>988</v>
      </c>
      <c r="E711" s="35" t="n">
        <v>44000</v>
      </c>
      <c r="F711" s="35" t="n">
        <v>0</v>
      </c>
      <c r="G711" s="35" t="n">
        <v>24251010</v>
      </c>
      <c r="H711" s="36" t="s">
        <v>494</v>
      </c>
    </row>
    <row r="712" customFormat="false" ht="17.15" hidden="false" customHeight="false" outlineLevel="0" collapsed="false">
      <c r="A712" s="21" t="s">
        <v>968</v>
      </c>
      <c r="B712" s="15" t="s">
        <v>1157</v>
      </c>
      <c r="C712" s="21" t="s">
        <v>990</v>
      </c>
      <c r="D712" s="21" t="s">
        <v>1158</v>
      </c>
      <c r="E712" s="35" t="n">
        <v>264000</v>
      </c>
      <c r="F712" s="35" t="n">
        <v>0</v>
      </c>
      <c r="G712" s="35" t="n">
        <v>24295010</v>
      </c>
      <c r="H712" s="37" t="s">
        <v>176</v>
      </c>
    </row>
    <row r="713" customFormat="false" ht="17.15" hidden="false" customHeight="false" outlineLevel="0" collapsed="false">
      <c r="A713" s="30" t="s">
        <v>968</v>
      </c>
      <c r="B713" s="29" t="s">
        <v>1159</v>
      </c>
      <c r="C713" s="30" t="s">
        <v>990</v>
      </c>
      <c r="D713" s="30" t="s">
        <v>617</v>
      </c>
      <c r="E713" s="33" t="n">
        <v>0</v>
      </c>
      <c r="F713" s="33" t="n">
        <v>20000000</v>
      </c>
      <c r="G713" s="33" t="n">
        <v>24559010</v>
      </c>
      <c r="H713" s="34" t="s">
        <v>454</v>
      </c>
    </row>
    <row r="714" customFormat="false" ht="17.15" hidden="false" customHeight="false" outlineLevel="0" collapsed="false">
      <c r="A714" s="21" t="s">
        <v>968</v>
      </c>
      <c r="B714" s="15" t="s">
        <v>1160</v>
      </c>
      <c r="C714" s="15" t="s">
        <v>1062</v>
      </c>
      <c r="D714" s="21" t="s">
        <v>995</v>
      </c>
      <c r="E714" s="35" t="n">
        <v>6696896</v>
      </c>
      <c r="F714" s="35" t="n">
        <v>0</v>
      </c>
      <c r="G714" s="35" t="n">
        <v>4559010</v>
      </c>
      <c r="H714" s="36" t="s">
        <v>184</v>
      </c>
    </row>
    <row r="715" customFormat="false" ht="15" hidden="false" customHeight="false" outlineLevel="0" collapsed="false">
      <c r="A715" s="21" t="s">
        <v>968</v>
      </c>
      <c r="B715" s="15" t="s">
        <v>1161</v>
      </c>
      <c r="C715" s="21" t="s">
        <v>163</v>
      </c>
      <c r="D715" s="15" t="s">
        <v>997</v>
      </c>
      <c r="E715" s="35" t="n">
        <v>33000</v>
      </c>
      <c r="F715" s="35" t="n">
        <v>0</v>
      </c>
      <c r="G715" s="35" t="n">
        <v>11255906</v>
      </c>
      <c r="H715" s="36" t="s">
        <v>165</v>
      </c>
    </row>
    <row r="716" customFormat="false" ht="17.15" hidden="false" customHeight="false" outlineLevel="0" collapsed="false">
      <c r="A716" s="38" t="s">
        <v>968</v>
      </c>
      <c r="B716" s="39" t="s">
        <v>1162</v>
      </c>
      <c r="C716" s="38" t="s">
        <v>250</v>
      </c>
      <c r="D716" s="39" t="s">
        <v>1163</v>
      </c>
      <c r="E716" s="40" t="n">
        <v>3000000</v>
      </c>
      <c r="F716" s="40" t="n">
        <v>0</v>
      </c>
      <c r="G716" s="40" t="n">
        <v>11288906</v>
      </c>
      <c r="H716" s="41" t="s">
        <v>1113</v>
      </c>
    </row>
    <row r="717" customFormat="false" ht="17.15" hidden="false" customHeight="false" outlineLevel="0" collapsed="false">
      <c r="A717" s="30" t="s">
        <v>968</v>
      </c>
      <c r="B717" s="29" t="s">
        <v>1164</v>
      </c>
      <c r="C717" s="30" t="s">
        <v>990</v>
      </c>
      <c r="D717" s="30" t="s">
        <v>617</v>
      </c>
      <c r="E717" s="33" t="n">
        <v>0</v>
      </c>
      <c r="F717" s="33" t="n">
        <v>10000000</v>
      </c>
      <c r="G717" s="33" t="n">
        <v>14288906</v>
      </c>
      <c r="H717" s="34" t="s">
        <v>454</v>
      </c>
    </row>
    <row r="718" customFormat="false" ht="17.15" hidden="false" customHeight="false" outlineLevel="0" collapsed="false">
      <c r="A718" s="30" t="s">
        <v>968</v>
      </c>
      <c r="B718" s="29" t="s">
        <v>1165</v>
      </c>
      <c r="C718" s="30" t="s">
        <v>990</v>
      </c>
      <c r="D718" s="29" t="s">
        <v>1166</v>
      </c>
      <c r="E718" s="33" t="n">
        <v>0</v>
      </c>
      <c r="F718" s="33" t="n">
        <v>4000000</v>
      </c>
      <c r="G718" s="33" t="n">
        <v>4288906</v>
      </c>
      <c r="H718" s="34" t="s">
        <v>1167</v>
      </c>
    </row>
    <row r="719" customFormat="false" ht="17.15" hidden="false" customHeight="false" outlineLevel="0" collapsed="false">
      <c r="A719" s="21" t="s">
        <v>968</v>
      </c>
      <c r="B719" s="15" t="s">
        <v>1168</v>
      </c>
      <c r="C719" s="21" t="s">
        <v>990</v>
      </c>
      <c r="D719" s="21" t="s">
        <v>1169</v>
      </c>
      <c r="E719" s="35" t="n">
        <v>100000</v>
      </c>
      <c r="F719" s="35" t="n">
        <v>0</v>
      </c>
      <c r="G719" s="35" t="n">
        <v>288906</v>
      </c>
      <c r="H719" s="37" t="s">
        <v>176</v>
      </c>
    </row>
    <row r="720" customFormat="false" ht="17.15" hidden="false" customHeight="false" outlineLevel="0" collapsed="false">
      <c r="A720" s="21" t="s">
        <v>968</v>
      </c>
      <c r="B720" s="15" t="s">
        <v>1170</v>
      </c>
      <c r="C720" s="15" t="s">
        <v>1062</v>
      </c>
      <c r="D720" s="21" t="s">
        <v>1171</v>
      </c>
      <c r="E720" s="35" t="n">
        <v>21500</v>
      </c>
      <c r="F720" s="35" t="n">
        <v>0</v>
      </c>
      <c r="G720" s="35" t="n">
        <v>388906</v>
      </c>
      <c r="H720" s="36" t="s">
        <v>252</v>
      </c>
    </row>
    <row r="721" customFormat="false" ht="17.15" hidden="false" customHeight="false" outlineLevel="0" collapsed="false">
      <c r="A721" s="21" t="s">
        <v>968</v>
      </c>
      <c r="B721" s="15" t="s">
        <v>1172</v>
      </c>
      <c r="C721" s="21" t="s">
        <v>1001</v>
      </c>
      <c r="D721" s="15" t="s">
        <v>1173</v>
      </c>
      <c r="E721" s="35" t="n">
        <v>404650</v>
      </c>
      <c r="F721" s="35" t="n">
        <v>0</v>
      </c>
      <c r="G721" s="35" t="n">
        <v>410406</v>
      </c>
      <c r="H721" s="36" t="s">
        <v>1003</v>
      </c>
    </row>
    <row r="722" customFormat="false" ht="17.15" hidden="false" customHeight="false" outlineLevel="0" collapsed="false">
      <c r="A722" s="21" t="s">
        <v>968</v>
      </c>
      <c r="B722" s="15" t="s">
        <v>1174</v>
      </c>
      <c r="C722" s="21" t="s">
        <v>1001</v>
      </c>
      <c r="D722" s="15" t="s">
        <v>1175</v>
      </c>
      <c r="E722" s="35" t="n">
        <v>2508420</v>
      </c>
      <c r="F722" s="35" t="n">
        <v>0</v>
      </c>
      <c r="G722" s="35" t="n">
        <v>815056</v>
      </c>
      <c r="H722" s="36" t="s">
        <v>1003</v>
      </c>
    </row>
    <row r="723" customFormat="false" ht="17.15" hidden="false" customHeight="false" outlineLevel="0" collapsed="false">
      <c r="A723" s="21" t="s">
        <v>968</v>
      </c>
      <c r="B723" s="15" t="s">
        <v>1174</v>
      </c>
      <c r="C723" s="21" t="s">
        <v>1001</v>
      </c>
      <c r="D723" s="15" t="s">
        <v>1176</v>
      </c>
      <c r="E723" s="35" t="n">
        <v>335000</v>
      </c>
      <c r="F723" s="35" t="n">
        <v>0</v>
      </c>
      <c r="G723" s="35" t="n">
        <v>3323476</v>
      </c>
      <c r="H723" s="36" t="s">
        <v>1003</v>
      </c>
    </row>
    <row r="724" customFormat="false" ht="17.15" hidden="false" customHeight="false" outlineLevel="0" collapsed="false">
      <c r="A724" s="21" t="s">
        <v>968</v>
      </c>
      <c r="B724" s="15" t="s">
        <v>1174</v>
      </c>
      <c r="C724" s="21" t="s">
        <v>1001</v>
      </c>
      <c r="D724" s="15" t="s">
        <v>1177</v>
      </c>
      <c r="E724" s="35" t="n">
        <v>3188620</v>
      </c>
      <c r="F724" s="35" t="n">
        <v>0</v>
      </c>
      <c r="G724" s="35" t="n">
        <v>3658476</v>
      </c>
      <c r="H724" s="36" t="s">
        <v>1003</v>
      </c>
    </row>
    <row r="725" customFormat="false" ht="17.15" hidden="false" customHeight="false" outlineLevel="0" collapsed="false">
      <c r="A725" s="21" t="s">
        <v>968</v>
      </c>
      <c r="B725" s="15" t="s">
        <v>1178</v>
      </c>
      <c r="C725" s="21" t="s">
        <v>990</v>
      </c>
      <c r="D725" s="21" t="s">
        <v>1179</v>
      </c>
      <c r="E725" s="35" t="n">
        <v>10180</v>
      </c>
      <c r="F725" s="35" t="n">
        <v>0</v>
      </c>
      <c r="G725" s="35" t="n">
        <v>6847096</v>
      </c>
      <c r="H725" s="36" t="s">
        <v>224</v>
      </c>
    </row>
    <row r="726" customFormat="false" ht="17.15" hidden="false" customHeight="false" outlineLevel="0" collapsed="false">
      <c r="A726" s="21" t="s">
        <v>968</v>
      </c>
      <c r="B726" s="15" t="s">
        <v>1178</v>
      </c>
      <c r="C726" s="21" t="s">
        <v>990</v>
      </c>
      <c r="D726" s="21" t="s">
        <v>1180</v>
      </c>
      <c r="E726" s="35" t="n">
        <v>563580</v>
      </c>
      <c r="F726" s="35" t="n">
        <v>0</v>
      </c>
      <c r="G726" s="35" t="n">
        <v>6857276</v>
      </c>
      <c r="H726" s="36" t="s">
        <v>224</v>
      </c>
    </row>
    <row r="727" customFormat="false" ht="17.15" hidden="false" customHeight="false" outlineLevel="0" collapsed="false">
      <c r="A727" s="21" t="s">
        <v>968</v>
      </c>
      <c r="B727" s="15" t="s">
        <v>1178</v>
      </c>
      <c r="C727" s="21" t="s">
        <v>990</v>
      </c>
      <c r="D727" s="15" t="s">
        <v>1181</v>
      </c>
      <c r="E727" s="35" t="n">
        <v>896270</v>
      </c>
      <c r="F727" s="35" t="n">
        <v>0</v>
      </c>
      <c r="G727" s="35" t="n">
        <v>7420856</v>
      </c>
      <c r="H727" s="36" t="s">
        <v>224</v>
      </c>
    </row>
    <row r="728" customFormat="false" ht="17.15" hidden="false" customHeight="false" outlineLevel="0" collapsed="false">
      <c r="A728" s="21" t="s">
        <v>968</v>
      </c>
      <c r="B728" s="15" t="s">
        <v>1178</v>
      </c>
      <c r="C728" s="21" t="s">
        <v>990</v>
      </c>
      <c r="D728" s="21" t="s">
        <v>1182</v>
      </c>
      <c r="E728" s="35" t="n">
        <v>59040</v>
      </c>
      <c r="F728" s="35" t="n">
        <v>0</v>
      </c>
      <c r="G728" s="35" t="n">
        <v>8317126</v>
      </c>
      <c r="H728" s="36" t="s">
        <v>224</v>
      </c>
    </row>
    <row r="729" customFormat="false" ht="17.15" hidden="false" customHeight="false" outlineLevel="0" collapsed="false">
      <c r="A729" s="21" t="s">
        <v>968</v>
      </c>
      <c r="B729" s="15" t="s">
        <v>1178</v>
      </c>
      <c r="C729" s="21" t="s">
        <v>990</v>
      </c>
      <c r="D729" s="21" t="s">
        <v>1183</v>
      </c>
      <c r="E729" s="35" t="n">
        <v>448630</v>
      </c>
      <c r="F729" s="35" t="n">
        <v>0</v>
      </c>
      <c r="G729" s="35" t="n">
        <v>8376166</v>
      </c>
      <c r="H729" s="36" t="s">
        <v>224</v>
      </c>
    </row>
    <row r="730" customFormat="false" ht="17.15" hidden="false" customHeight="false" outlineLevel="0" collapsed="false">
      <c r="A730" s="21" t="s">
        <v>968</v>
      </c>
      <c r="B730" s="15" t="s">
        <v>1178</v>
      </c>
      <c r="C730" s="21" t="s">
        <v>990</v>
      </c>
      <c r="D730" s="21" t="s">
        <v>1184</v>
      </c>
      <c r="E730" s="35" t="n">
        <v>311780</v>
      </c>
      <c r="F730" s="35" t="n">
        <v>0</v>
      </c>
      <c r="G730" s="35" t="n">
        <v>8824796</v>
      </c>
      <c r="H730" s="36" t="s">
        <v>224</v>
      </c>
    </row>
    <row r="731" customFormat="false" ht="17.15" hidden="false" customHeight="false" outlineLevel="0" collapsed="false">
      <c r="A731" s="21" t="s">
        <v>968</v>
      </c>
      <c r="B731" s="15" t="s">
        <v>1178</v>
      </c>
      <c r="C731" s="21" t="s">
        <v>990</v>
      </c>
      <c r="D731" s="21" t="s">
        <v>1185</v>
      </c>
      <c r="E731" s="35" t="n">
        <v>251620</v>
      </c>
      <c r="F731" s="35" t="n">
        <v>0</v>
      </c>
      <c r="G731" s="35" t="n">
        <v>9136576</v>
      </c>
      <c r="H731" s="36" t="s">
        <v>224</v>
      </c>
    </row>
    <row r="732" customFormat="false" ht="17.15" hidden="false" customHeight="false" outlineLevel="0" collapsed="false">
      <c r="A732" s="21" t="s">
        <v>968</v>
      </c>
      <c r="B732" s="15" t="s">
        <v>1186</v>
      </c>
      <c r="C732" s="21" t="s">
        <v>990</v>
      </c>
      <c r="D732" s="21" t="s">
        <v>1187</v>
      </c>
      <c r="E732" s="35" t="n">
        <v>1796620</v>
      </c>
      <c r="F732" s="35" t="n">
        <v>0</v>
      </c>
      <c r="G732" s="35" t="n">
        <v>9388196</v>
      </c>
      <c r="H732" s="36" t="s">
        <v>224</v>
      </c>
    </row>
    <row r="733" customFormat="false" ht="17.15" hidden="false" customHeight="false" outlineLevel="0" collapsed="false">
      <c r="A733" s="21" t="s">
        <v>968</v>
      </c>
      <c r="B733" s="15" t="s">
        <v>1186</v>
      </c>
      <c r="C733" s="21" t="s">
        <v>990</v>
      </c>
      <c r="D733" s="21" t="s">
        <v>1188</v>
      </c>
      <c r="E733" s="35" t="n">
        <v>1796620</v>
      </c>
      <c r="F733" s="35" t="n">
        <v>0</v>
      </c>
      <c r="G733" s="35" t="n">
        <v>11184816</v>
      </c>
      <c r="H733" s="36" t="s">
        <v>224</v>
      </c>
    </row>
    <row r="734" customFormat="false" ht="17.15" hidden="false" customHeight="false" outlineLevel="0" collapsed="false">
      <c r="A734" s="21" t="s">
        <v>968</v>
      </c>
      <c r="B734" s="15" t="s">
        <v>1186</v>
      </c>
      <c r="C734" s="21" t="s">
        <v>990</v>
      </c>
      <c r="D734" s="21" t="s">
        <v>1189</v>
      </c>
      <c r="E734" s="35" t="n">
        <v>1796620</v>
      </c>
      <c r="F734" s="35" t="n">
        <v>0</v>
      </c>
      <c r="G734" s="35" t="n">
        <v>12981436</v>
      </c>
      <c r="H734" s="36" t="s">
        <v>224</v>
      </c>
    </row>
    <row r="735" customFormat="false" ht="17.15" hidden="false" customHeight="false" outlineLevel="0" collapsed="false">
      <c r="A735" s="21" t="s">
        <v>968</v>
      </c>
      <c r="B735" s="15" t="s">
        <v>1186</v>
      </c>
      <c r="C735" s="21" t="s">
        <v>990</v>
      </c>
      <c r="D735" s="21" t="s">
        <v>1190</v>
      </c>
      <c r="E735" s="35" t="n">
        <v>1604760</v>
      </c>
      <c r="F735" s="35" t="n">
        <v>0</v>
      </c>
      <c r="G735" s="35" t="n">
        <v>14778056</v>
      </c>
      <c r="H735" s="36" t="s">
        <v>224</v>
      </c>
    </row>
    <row r="736" customFormat="false" ht="17.15" hidden="false" customHeight="false" outlineLevel="0" collapsed="false">
      <c r="A736" s="21" t="s">
        <v>968</v>
      </c>
      <c r="B736" s="15" t="s">
        <v>1186</v>
      </c>
      <c r="C736" s="21" t="s">
        <v>990</v>
      </c>
      <c r="D736" s="21" t="s">
        <v>1180</v>
      </c>
      <c r="E736" s="35" t="n">
        <v>2165830</v>
      </c>
      <c r="F736" s="35" t="n">
        <v>0</v>
      </c>
      <c r="G736" s="35" t="n">
        <v>16382816</v>
      </c>
      <c r="H736" s="36" t="s">
        <v>224</v>
      </c>
    </row>
    <row r="737" customFormat="false" ht="17.15" hidden="false" customHeight="false" outlineLevel="0" collapsed="false">
      <c r="A737" s="21" t="s">
        <v>968</v>
      </c>
      <c r="B737" s="15" t="s">
        <v>1186</v>
      </c>
      <c r="C737" s="21" t="s">
        <v>990</v>
      </c>
      <c r="D737" s="15" t="s">
        <v>1181</v>
      </c>
      <c r="E737" s="35" t="n">
        <v>4257960</v>
      </c>
      <c r="F737" s="35" t="n">
        <v>0</v>
      </c>
      <c r="G737" s="35" t="n">
        <v>18548646</v>
      </c>
      <c r="H737" s="36" t="s">
        <v>224</v>
      </c>
    </row>
    <row r="738" customFormat="false" ht="17.15" hidden="false" customHeight="false" outlineLevel="0" collapsed="false">
      <c r="A738" s="21" t="s">
        <v>968</v>
      </c>
      <c r="B738" s="15" t="s">
        <v>1186</v>
      </c>
      <c r="C738" s="21" t="s">
        <v>990</v>
      </c>
      <c r="D738" s="21" t="s">
        <v>1182</v>
      </c>
      <c r="E738" s="35" t="n">
        <v>3194220</v>
      </c>
      <c r="F738" s="35" t="n">
        <v>0</v>
      </c>
      <c r="G738" s="35" t="n">
        <v>22806606</v>
      </c>
      <c r="H738" s="36" t="s">
        <v>224</v>
      </c>
    </row>
    <row r="739" customFormat="false" ht="17.15" hidden="false" customHeight="false" outlineLevel="0" collapsed="false">
      <c r="A739" s="21" t="s">
        <v>968</v>
      </c>
      <c r="B739" s="15" t="s">
        <v>1186</v>
      </c>
      <c r="C739" s="21" t="s">
        <v>990</v>
      </c>
      <c r="D739" s="21" t="s">
        <v>1183</v>
      </c>
      <c r="E739" s="35" t="n">
        <v>3651370</v>
      </c>
      <c r="F739" s="35" t="n">
        <v>0</v>
      </c>
      <c r="G739" s="35" t="n">
        <v>26000826</v>
      </c>
      <c r="H739" s="36" t="s">
        <v>224</v>
      </c>
    </row>
    <row r="740" customFormat="false" ht="17.15" hidden="false" customHeight="false" outlineLevel="0" collapsed="false">
      <c r="A740" s="21" t="s">
        <v>968</v>
      </c>
      <c r="B740" s="15" t="s">
        <v>1186</v>
      </c>
      <c r="C740" s="21" t="s">
        <v>990</v>
      </c>
      <c r="D740" s="21" t="s">
        <v>1184</v>
      </c>
      <c r="E740" s="35" t="n">
        <v>3217580</v>
      </c>
      <c r="F740" s="35" t="n">
        <v>0</v>
      </c>
      <c r="G740" s="35" t="n">
        <v>29652196</v>
      </c>
      <c r="H740" s="36" t="s">
        <v>224</v>
      </c>
    </row>
    <row r="741" customFormat="false" ht="17.15" hidden="false" customHeight="false" outlineLevel="0" collapsed="false">
      <c r="A741" s="21" t="s">
        <v>968</v>
      </c>
      <c r="B741" s="15" t="s">
        <v>1186</v>
      </c>
      <c r="C741" s="21" t="s">
        <v>990</v>
      </c>
      <c r="D741" s="21" t="s">
        <v>1185</v>
      </c>
      <c r="E741" s="35" t="n">
        <v>2937310</v>
      </c>
      <c r="F741" s="35" t="n">
        <v>0</v>
      </c>
      <c r="G741" s="35" t="n">
        <v>32869776</v>
      </c>
      <c r="H741" s="36" t="s">
        <v>224</v>
      </c>
    </row>
    <row r="742" customFormat="false" ht="17.15" hidden="false" customHeight="false" outlineLevel="0" collapsed="false">
      <c r="A742" s="21" t="s">
        <v>968</v>
      </c>
      <c r="B742" s="15" t="s">
        <v>1186</v>
      </c>
      <c r="C742" s="21" t="s">
        <v>990</v>
      </c>
      <c r="D742" s="21" t="s">
        <v>1191</v>
      </c>
      <c r="E742" s="35" t="n">
        <v>6695000</v>
      </c>
      <c r="F742" s="35" t="n">
        <v>0</v>
      </c>
      <c r="G742" s="35" t="n">
        <v>35807086</v>
      </c>
      <c r="H742" s="36" t="s">
        <v>224</v>
      </c>
    </row>
    <row r="743" customFormat="false" ht="17.15" hidden="false" customHeight="false" outlineLevel="0" collapsed="false">
      <c r="A743" s="21" t="s">
        <v>968</v>
      </c>
      <c r="B743" s="15" t="s">
        <v>1192</v>
      </c>
      <c r="C743" s="21" t="s">
        <v>990</v>
      </c>
      <c r="D743" s="21" t="s">
        <v>1193</v>
      </c>
      <c r="E743" s="35" t="n">
        <v>33000</v>
      </c>
      <c r="F743" s="35" t="n">
        <v>0</v>
      </c>
      <c r="G743" s="35" t="n">
        <v>42502086</v>
      </c>
      <c r="H743" s="37" t="s">
        <v>176</v>
      </c>
    </row>
    <row r="744" customFormat="false" ht="17.15" hidden="false" customHeight="false" outlineLevel="0" collapsed="false">
      <c r="A744" s="21" t="s">
        <v>968</v>
      </c>
      <c r="B744" s="15" t="s">
        <v>1194</v>
      </c>
      <c r="C744" s="15" t="s">
        <v>1062</v>
      </c>
      <c r="D744" s="21" t="s">
        <v>1009</v>
      </c>
      <c r="E744" s="35" t="n">
        <v>165000</v>
      </c>
      <c r="F744" s="35" t="n">
        <v>0</v>
      </c>
      <c r="G744" s="35" t="n">
        <v>42535086</v>
      </c>
      <c r="H744" s="36" t="s">
        <v>492</v>
      </c>
    </row>
    <row r="745" customFormat="false" ht="17.15" hidden="false" customHeight="false" outlineLevel="0" collapsed="false">
      <c r="A745" s="21" t="s">
        <v>968</v>
      </c>
      <c r="B745" s="15" t="s">
        <v>1195</v>
      </c>
      <c r="C745" s="21" t="s">
        <v>1011</v>
      </c>
      <c r="D745" s="15" t="s">
        <v>1196</v>
      </c>
      <c r="E745" s="35" t="n">
        <v>7035750</v>
      </c>
      <c r="F745" s="35" t="n">
        <v>0</v>
      </c>
      <c r="G745" s="35" t="n">
        <v>42700086</v>
      </c>
      <c r="H745" s="36" t="s">
        <v>1013</v>
      </c>
    </row>
    <row r="746" customFormat="false" ht="15" hidden="false" customHeight="false" outlineLevel="0" collapsed="false">
      <c r="A746" s="21" t="s">
        <v>968</v>
      </c>
      <c r="B746" s="15" t="s">
        <v>1197</v>
      </c>
      <c r="C746" s="21" t="s">
        <v>980</v>
      </c>
      <c r="D746" s="15" t="s">
        <v>985</v>
      </c>
      <c r="E746" s="35" t="n">
        <v>269726</v>
      </c>
      <c r="F746" s="35" t="n">
        <v>0</v>
      </c>
      <c r="G746" s="35" t="n">
        <v>49735836</v>
      </c>
      <c r="H746" s="36" t="s">
        <v>198</v>
      </c>
    </row>
    <row r="747" customFormat="false" ht="17.15" hidden="false" customHeight="false" outlineLevel="0" collapsed="false">
      <c r="A747" s="30" t="s">
        <v>968</v>
      </c>
      <c r="B747" s="29" t="s">
        <v>1198</v>
      </c>
      <c r="C747" s="30" t="s">
        <v>990</v>
      </c>
      <c r="D747" s="30" t="s">
        <v>617</v>
      </c>
      <c r="E747" s="33" t="n">
        <v>0</v>
      </c>
      <c r="F747" s="33" t="n">
        <v>50000000</v>
      </c>
      <c r="G747" s="33" t="n">
        <v>50005562</v>
      </c>
      <c r="H747" s="34" t="s">
        <v>454</v>
      </c>
    </row>
    <row r="748" customFormat="false" ht="15" hidden="false" customHeight="false" outlineLevel="0" collapsed="false">
      <c r="A748" s="21" t="s">
        <v>968</v>
      </c>
      <c r="B748" s="15" t="s">
        <v>1199</v>
      </c>
      <c r="C748" s="21" t="s">
        <v>980</v>
      </c>
      <c r="D748" s="15" t="s">
        <v>985</v>
      </c>
      <c r="E748" s="35" t="n">
        <v>490410</v>
      </c>
      <c r="F748" s="35" t="n">
        <v>0</v>
      </c>
      <c r="G748" s="35" t="n">
        <v>5562</v>
      </c>
      <c r="H748" s="36" t="s">
        <v>198</v>
      </c>
    </row>
    <row r="749" customFormat="false" ht="15" hidden="false" customHeight="false" outlineLevel="0" collapsed="false">
      <c r="A749" s="21" t="s">
        <v>968</v>
      </c>
      <c r="B749" s="15" t="s">
        <v>1199</v>
      </c>
      <c r="C749" s="21" t="s">
        <v>980</v>
      </c>
      <c r="D749" s="15" t="s">
        <v>981</v>
      </c>
      <c r="E749" s="35" t="n">
        <v>5599364</v>
      </c>
      <c r="F749" s="35" t="n">
        <v>0</v>
      </c>
      <c r="G749" s="35" t="n">
        <v>495972</v>
      </c>
      <c r="H749" s="36" t="s">
        <v>198</v>
      </c>
    </row>
    <row r="750" customFormat="false" ht="15" hidden="false" customHeight="false" outlineLevel="0" collapsed="false">
      <c r="A750" s="21" t="s">
        <v>968</v>
      </c>
      <c r="B750" s="15" t="s">
        <v>1199</v>
      </c>
      <c r="C750" s="21" t="s">
        <v>980</v>
      </c>
      <c r="D750" s="15" t="s">
        <v>982</v>
      </c>
      <c r="E750" s="35" t="n">
        <v>290499</v>
      </c>
      <c r="F750" s="35" t="n">
        <v>0</v>
      </c>
      <c r="G750" s="35" t="n">
        <v>6095336</v>
      </c>
      <c r="H750" s="36" t="s">
        <v>198</v>
      </c>
    </row>
    <row r="751" customFormat="false" ht="15" hidden="false" customHeight="false" outlineLevel="0" collapsed="false">
      <c r="A751" s="21" t="s">
        <v>968</v>
      </c>
      <c r="B751" s="15" t="s">
        <v>1199</v>
      </c>
      <c r="C751" s="21" t="s">
        <v>980</v>
      </c>
      <c r="D751" s="15" t="s">
        <v>983</v>
      </c>
      <c r="E751" s="35" t="n">
        <v>193666</v>
      </c>
      <c r="F751" s="35" t="n">
        <v>0</v>
      </c>
      <c r="G751" s="35" t="n">
        <v>6385835</v>
      </c>
      <c r="H751" s="36" t="s">
        <v>198</v>
      </c>
    </row>
    <row r="752" customFormat="false" ht="15" hidden="false" customHeight="false" outlineLevel="0" collapsed="false">
      <c r="A752" s="21" t="s">
        <v>968</v>
      </c>
      <c r="B752" s="15" t="s">
        <v>1199</v>
      </c>
      <c r="C752" s="21" t="s">
        <v>980</v>
      </c>
      <c r="D752" s="15" t="s">
        <v>984</v>
      </c>
      <c r="E752" s="35" t="n">
        <v>895246</v>
      </c>
      <c r="F752" s="35" t="n">
        <v>0</v>
      </c>
      <c r="G752" s="35" t="n">
        <v>6579501</v>
      </c>
      <c r="H752" s="36" t="s">
        <v>198</v>
      </c>
    </row>
    <row r="753" customFormat="false" ht="17.15" hidden="false" customHeight="false" outlineLevel="0" collapsed="false">
      <c r="A753" s="21" t="s">
        <v>968</v>
      </c>
      <c r="B753" s="15" t="s">
        <v>1200</v>
      </c>
      <c r="C753" s="21" t="s">
        <v>990</v>
      </c>
      <c r="D753" s="21" t="s">
        <v>1201</v>
      </c>
      <c r="E753" s="35" t="n">
        <v>280000</v>
      </c>
      <c r="F753" s="35" t="n">
        <v>0</v>
      </c>
      <c r="G753" s="35" t="n">
        <v>7474747</v>
      </c>
      <c r="H753" s="36" t="s">
        <v>149</v>
      </c>
    </row>
    <row r="754" customFormat="false" ht="17.15" hidden="false" customHeight="false" outlineLevel="0" collapsed="false">
      <c r="A754" s="21" t="s">
        <v>968</v>
      </c>
      <c r="B754" s="15" t="s">
        <v>1202</v>
      </c>
      <c r="C754" s="21" t="s">
        <v>990</v>
      </c>
      <c r="D754" s="21" t="s">
        <v>1203</v>
      </c>
      <c r="E754" s="35" t="n">
        <v>1310320</v>
      </c>
      <c r="F754" s="35" t="n">
        <v>0</v>
      </c>
      <c r="G754" s="35" t="n">
        <v>7754747</v>
      </c>
      <c r="H754" s="36" t="s">
        <v>141</v>
      </c>
    </row>
    <row r="755" customFormat="false" ht="17.15" hidden="false" customHeight="false" outlineLevel="0" collapsed="false">
      <c r="A755" s="21" t="s">
        <v>968</v>
      </c>
      <c r="B755" s="15" t="s">
        <v>1202</v>
      </c>
      <c r="C755" s="21" t="s">
        <v>990</v>
      </c>
      <c r="D755" s="21" t="s">
        <v>1204</v>
      </c>
      <c r="E755" s="35" t="n">
        <v>770000</v>
      </c>
      <c r="F755" s="35" t="n">
        <v>0</v>
      </c>
      <c r="G755" s="35" t="n">
        <v>9065067</v>
      </c>
      <c r="H755" s="37" t="s">
        <v>176</v>
      </c>
    </row>
    <row r="756" customFormat="false" ht="17.15" hidden="false" customHeight="false" outlineLevel="0" collapsed="false">
      <c r="A756" s="21" t="s">
        <v>968</v>
      </c>
      <c r="B756" s="15" t="s">
        <v>1202</v>
      </c>
      <c r="C756" s="21" t="s">
        <v>990</v>
      </c>
      <c r="D756" s="21" t="s">
        <v>1205</v>
      </c>
      <c r="E756" s="35" t="n">
        <v>165000</v>
      </c>
      <c r="F756" s="35" t="n">
        <v>0</v>
      </c>
      <c r="G756" s="35" t="n">
        <v>9835067</v>
      </c>
      <c r="H756" s="36" t="s">
        <v>141</v>
      </c>
    </row>
    <row r="757" customFormat="false" ht="17.15" hidden="false" customHeight="false" outlineLevel="0" collapsed="false">
      <c r="A757" s="21" t="s">
        <v>968</v>
      </c>
      <c r="B757" s="15" t="s">
        <v>1202</v>
      </c>
      <c r="C757" s="21" t="s">
        <v>990</v>
      </c>
      <c r="D757" s="21" t="s">
        <v>1206</v>
      </c>
      <c r="E757" s="35" t="n">
        <v>1000000</v>
      </c>
      <c r="F757" s="35" t="n">
        <v>0</v>
      </c>
      <c r="G757" s="35" t="n">
        <v>10000067</v>
      </c>
      <c r="H757" s="36" t="s">
        <v>494</v>
      </c>
    </row>
    <row r="758" customFormat="false" ht="17.15" hidden="false" customHeight="false" outlineLevel="0" collapsed="false">
      <c r="A758" s="38" t="s">
        <v>968</v>
      </c>
      <c r="B758" s="39" t="s">
        <v>1207</v>
      </c>
      <c r="C758" s="38" t="s">
        <v>1065</v>
      </c>
      <c r="D758" s="38" t="s">
        <v>447</v>
      </c>
      <c r="E758" s="40" t="n">
        <v>56000000</v>
      </c>
      <c r="F758" s="40" t="n">
        <v>0</v>
      </c>
      <c r="G758" s="40" t="n">
        <v>11000067</v>
      </c>
      <c r="H758" s="41" t="s">
        <v>1208</v>
      </c>
    </row>
    <row r="759" customFormat="false" ht="17.15" hidden="false" customHeight="false" outlineLevel="0" collapsed="false">
      <c r="A759" s="30" t="s">
        <v>968</v>
      </c>
      <c r="B759" s="29" t="s">
        <v>1209</v>
      </c>
      <c r="C759" s="30" t="s">
        <v>1210</v>
      </c>
      <c r="D759" s="30" t="s">
        <v>1211</v>
      </c>
      <c r="E759" s="33" t="n">
        <v>0</v>
      </c>
      <c r="F759" s="33" t="n">
        <v>56306271</v>
      </c>
      <c r="G759" s="33" t="n">
        <v>67000067</v>
      </c>
      <c r="H759" s="34" t="s">
        <v>1212</v>
      </c>
    </row>
    <row r="760" customFormat="false" ht="17.15" hidden="false" customHeight="false" outlineLevel="0" collapsed="false">
      <c r="A760" s="21" t="s">
        <v>968</v>
      </c>
      <c r="B760" s="15" t="s">
        <v>1213</v>
      </c>
      <c r="C760" s="15" t="s">
        <v>170</v>
      </c>
      <c r="D760" s="21" t="s">
        <v>988</v>
      </c>
      <c r="E760" s="35" t="n">
        <v>44000</v>
      </c>
      <c r="F760" s="35" t="n">
        <v>0</v>
      </c>
      <c r="G760" s="35" t="n">
        <v>10693796</v>
      </c>
      <c r="H760" s="36" t="s">
        <v>494</v>
      </c>
    </row>
    <row r="761" customFormat="false" ht="17.15" hidden="false" customHeight="false" outlineLevel="0" collapsed="false">
      <c r="A761" s="30" t="s">
        <v>968</v>
      </c>
      <c r="B761" s="29" t="s">
        <v>1214</v>
      </c>
      <c r="C761" s="30" t="s">
        <v>990</v>
      </c>
      <c r="D761" s="29" t="s">
        <v>1215</v>
      </c>
      <c r="E761" s="33" t="n">
        <v>0</v>
      </c>
      <c r="F761" s="33" t="n">
        <v>270000</v>
      </c>
      <c r="G761" s="33" t="n">
        <v>10737796</v>
      </c>
      <c r="H761" s="34" t="s">
        <v>132</v>
      </c>
    </row>
    <row r="762" customFormat="false" ht="17.15" hidden="false" customHeight="false" outlineLevel="0" collapsed="false">
      <c r="A762" s="21" t="s">
        <v>968</v>
      </c>
      <c r="B762" s="15" t="s">
        <v>1216</v>
      </c>
      <c r="C762" s="15" t="s">
        <v>1062</v>
      </c>
      <c r="D762" s="21" t="s">
        <v>995</v>
      </c>
      <c r="E762" s="35" t="n">
        <v>6548810</v>
      </c>
      <c r="F762" s="35" t="n">
        <v>0</v>
      </c>
      <c r="G762" s="35" t="n">
        <v>10467796</v>
      </c>
      <c r="H762" s="36" t="s">
        <v>184</v>
      </c>
    </row>
    <row r="763" customFormat="false" ht="15" hidden="false" customHeight="false" outlineLevel="0" collapsed="false">
      <c r="A763" s="21" t="s">
        <v>968</v>
      </c>
      <c r="B763" s="15" t="s">
        <v>1217</v>
      </c>
      <c r="C763" s="21" t="s">
        <v>163</v>
      </c>
      <c r="D763" s="15" t="s">
        <v>997</v>
      </c>
      <c r="E763" s="35" t="n">
        <v>818750</v>
      </c>
      <c r="F763" s="35" t="n">
        <v>0</v>
      </c>
      <c r="G763" s="35" t="n">
        <v>17016606</v>
      </c>
      <c r="H763" s="36" t="s">
        <v>165</v>
      </c>
    </row>
    <row r="764" customFormat="false" ht="17.15" hidden="false" customHeight="false" outlineLevel="0" collapsed="false">
      <c r="A764" s="21" t="s">
        <v>968</v>
      </c>
      <c r="B764" s="15" t="s">
        <v>1218</v>
      </c>
      <c r="C764" s="21" t="s">
        <v>990</v>
      </c>
      <c r="D764" s="21" t="s">
        <v>1219</v>
      </c>
      <c r="E764" s="35" t="n">
        <v>6695000</v>
      </c>
      <c r="F764" s="35" t="n">
        <v>0</v>
      </c>
      <c r="G764" s="35" t="n">
        <v>17835356</v>
      </c>
      <c r="H764" s="36" t="s">
        <v>224</v>
      </c>
    </row>
    <row r="765" customFormat="false" ht="17.15" hidden="false" customHeight="false" outlineLevel="0" collapsed="false">
      <c r="A765" s="21" t="s">
        <v>968</v>
      </c>
      <c r="B765" s="15" t="s">
        <v>1220</v>
      </c>
      <c r="C765" s="21" t="s">
        <v>990</v>
      </c>
      <c r="D765" s="15" t="s">
        <v>1123</v>
      </c>
      <c r="E765" s="35" t="n">
        <v>50000</v>
      </c>
      <c r="F765" s="35" t="n">
        <v>0</v>
      </c>
      <c r="G765" s="35" t="n">
        <v>24530356</v>
      </c>
      <c r="H765" s="37" t="s">
        <v>176</v>
      </c>
    </row>
    <row r="766" customFormat="false" ht="17.15" hidden="false" customHeight="false" outlineLevel="0" collapsed="false">
      <c r="A766" s="21" t="s">
        <v>968</v>
      </c>
      <c r="B766" s="15" t="s">
        <v>1220</v>
      </c>
      <c r="C766" s="21" t="s">
        <v>990</v>
      </c>
      <c r="D766" s="15" t="s">
        <v>1124</v>
      </c>
      <c r="E766" s="35" t="n">
        <v>50000</v>
      </c>
      <c r="F766" s="35" t="n">
        <v>0</v>
      </c>
      <c r="G766" s="35" t="n">
        <v>24580356</v>
      </c>
      <c r="H766" s="37" t="s">
        <v>176</v>
      </c>
    </row>
    <row r="767" customFormat="false" ht="17.15" hidden="false" customHeight="false" outlineLevel="0" collapsed="false">
      <c r="A767" s="21" t="s">
        <v>968</v>
      </c>
      <c r="B767" s="15" t="s">
        <v>1220</v>
      </c>
      <c r="C767" s="21" t="s">
        <v>990</v>
      </c>
      <c r="D767" s="21" t="s">
        <v>1221</v>
      </c>
      <c r="E767" s="35" t="n">
        <v>50000</v>
      </c>
      <c r="F767" s="35" t="n">
        <v>0</v>
      </c>
      <c r="G767" s="35" t="n">
        <v>24630356</v>
      </c>
      <c r="H767" s="37" t="s">
        <v>176</v>
      </c>
    </row>
    <row r="768" customFormat="false" ht="17.15" hidden="false" customHeight="false" outlineLevel="0" collapsed="false">
      <c r="A768" s="21" t="s">
        <v>968</v>
      </c>
      <c r="B768" s="15" t="s">
        <v>1220</v>
      </c>
      <c r="C768" s="21" t="s">
        <v>990</v>
      </c>
      <c r="D768" s="21" t="s">
        <v>1125</v>
      </c>
      <c r="E768" s="35" t="n">
        <v>50000</v>
      </c>
      <c r="F768" s="35" t="n">
        <v>0</v>
      </c>
      <c r="G768" s="35" t="n">
        <v>24680356</v>
      </c>
      <c r="H768" s="37" t="s">
        <v>176</v>
      </c>
    </row>
    <row r="769" customFormat="false" ht="17.15" hidden="false" customHeight="false" outlineLevel="0" collapsed="false">
      <c r="A769" s="21" t="s">
        <v>968</v>
      </c>
      <c r="B769" s="15" t="s">
        <v>1220</v>
      </c>
      <c r="C769" s="21" t="s">
        <v>990</v>
      </c>
      <c r="D769" s="21" t="s">
        <v>1126</v>
      </c>
      <c r="E769" s="35" t="n">
        <v>671000</v>
      </c>
      <c r="F769" s="35" t="n">
        <v>0</v>
      </c>
      <c r="G769" s="35" t="n">
        <v>24730356</v>
      </c>
      <c r="H769" s="36" t="s">
        <v>224</v>
      </c>
    </row>
    <row r="770" customFormat="false" ht="17.15" hidden="false" customHeight="false" outlineLevel="0" collapsed="false">
      <c r="A770" s="21" t="s">
        <v>968</v>
      </c>
      <c r="B770" s="15" t="s">
        <v>1220</v>
      </c>
      <c r="C770" s="21" t="s">
        <v>990</v>
      </c>
      <c r="D770" s="21" t="s">
        <v>1127</v>
      </c>
      <c r="E770" s="35" t="n">
        <v>742000</v>
      </c>
      <c r="F770" s="35" t="n">
        <v>0</v>
      </c>
      <c r="G770" s="35" t="n">
        <v>25401356</v>
      </c>
      <c r="H770" s="36" t="s">
        <v>224</v>
      </c>
    </row>
    <row r="771" customFormat="false" ht="17.15" hidden="false" customHeight="false" outlineLevel="0" collapsed="false">
      <c r="A771" s="21" t="s">
        <v>968</v>
      </c>
      <c r="B771" s="15" t="s">
        <v>1220</v>
      </c>
      <c r="C771" s="21" t="s">
        <v>990</v>
      </c>
      <c r="D771" s="15" t="s">
        <v>1128</v>
      </c>
      <c r="E771" s="35" t="n">
        <v>1380000</v>
      </c>
      <c r="F771" s="35" t="n">
        <v>0</v>
      </c>
      <c r="G771" s="35" t="n">
        <v>26143356</v>
      </c>
      <c r="H771" s="36" t="s">
        <v>224</v>
      </c>
    </row>
    <row r="772" customFormat="false" ht="17.15" hidden="false" customHeight="false" outlineLevel="0" collapsed="false">
      <c r="A772" s="21" t="s">
        <v>968</v>
      </c>
      <c r="B772" s="15" t="s">
        <v>1220</v>
      </c>
      <c r="C772" s="21" t="s">
        <v>990</v>
      </c>
      <c r="D772" s="21" t="s">
        <v>1129</v>
      </c>
      <c r="E772" s="35" t="n">
        <v>923000</v>
      </c>
      <c r="F772" s="35" t="n">
        <v>0</v>
      </c>
      <c r="G772" s="35" t="n">
        <v>27523356</v>
      </c>
      <c r="H772" s="36" t="s">
        <v>224</v>
      </c>
    </row>
    <row r="773" customFormat="false" ht="17.15" hidden="false" customHeight="false" outlineLevel="0" collapsed="false">
      <c r="A773" s="21" t="s">
        <v>968</v>
      </c>
      <c r="B773" s="15" t="s">
        <v>1220</v>
      </c>
      <c r="C773" s="21" t="s">
        <v>990</v>
      </c>
      <c r="D773" s="21" t="s">
        <v>1130</v>
      </c>
      <c r="E773" s="35" t="n">
        <v>1116000</v>
      </c>
      <c r="F773" s="35" t="n">
        <v>0</v>
      </c>
      <c r="G773" s="35" t="n">
        <v>28446356</v>
      </c>
      <c r="H773" s="36" t="s">
        <v>224</v>
      </c>
    </row>
    <row r="774" customFormat="false" ht="17.15" hidden="false" customHeight="false" outlineLevel="0" collapsed="false">
      <c r="A774" s="21" t="s">
        <v>968</v>
      </c>
      <c r="B774" s="15" t="s">
        <v>1220</v>
      </c>
      <c r="C774" s="21" t="s">
        <v>990</v>
      </c>
      <c r="D774" s="21" t="s">
        <v>1131</v>
      </c>
      <c r="E774" s="35" t="n">
        <v>962000</v>
      </c>
      <c r="F774" s="35" t="n">
        <v>0</v>
      </c>
      <c r="G774" s="35" t="n">
        <v>29562356</v>
      </c>
      <c r="H774" s="36" t="s">
        <v>224</v>
      </c>
    </row>
    <row r="775" customFormat="false" ht="17.15" hidden="false" customHeight="false" outlineLevel="0" collapsed="false">
      <c r="A775" s="21" t="s">
        <v>968</v>
      </c>
      <c r="B775" s="15" t="s">
        <v>1220</v>
      </c>
      <c r="C775" s="21" t="s">
        <v>990</v>
      </c>
      <c r="D775" s="21" t="s">
        <v>1132</v>
      </c>
      <c r="E775" s="35" t="n">
        <v>859000</v>
      </c>
      <c r="F775" s="35" t="n">
        <v>0</v>
      </c>
      <c r="G775" s="35" t="n">
        <v>30524356</v>
      </c>
      <c r="H775" s="36" t="s">
        <v>224</v>
      </c>
    </row>
    <row r="776" customFormat="false" ht="17.15" hidden="false" customHeight="false" outlineLevel="0" collapsed="false">
      <c r="A776" s="21" t="s">
        <v>968</v>
      </c>
      <c r="B776" s="15" t="s">
        <v>1220</v>
      </c>
      <c r="C776" s="21" t="s">
        <v>990</v>
      </c>
      <c r="D776" s="21" t="s">
        <v>1222</v>
      </c>
      <c r="E776" s="35" t="n">
        <v>2008000</v>
      </c>
      <c r="F776" s="35" t="n">
        <v>0</v>
      </c>
      <c r="G776" s="35" t="n">
        <v>31383356</v>
      </c>
      <c r="H776" s="36" t="s">
        <v>224</v>
      </c>
    </row>
    <row r="777" customFormat="false" ht="17.15" hidden="false" customHeight="false" outlineLevel="0" collapsed="false">
      <c r="A777" s="38" t="s">
        <v>968</v>
      </c>
      <c r="B777" s="39" t="s">
        <v>1223</v>
      </c>
      <c r="C777" s="38" t="s">
        <v>250</v>
      </c>
      <c r="D777" s="39" t="s">
        <v>1224</v>
      </c>
      <c r="E777" s="40" t="n">
        <v>3000000</v>
      </c>
      <c r="F777" s="40" t="n">
        <v>0</v>
      </c>
      <c r="G777" s="40" t="n">
        <v>33391356</v>
      </c>
      <c r="H777" s="41" t="s">
        <v>1113</v>
      </c>
    </row>
    <row r="778" customFormat="false" ht="17.15" hidden="false" customHeight="false" outlineLevel="0" collapsed="false">
      <c r="A778" s="30" t="s">
        <v>968</v>
      </c>
      <c r="B778" s="29" t="s">
        <v>1225</v>
      </c>
      <c r="C778" s="30" t="s">
        <v>990</v>
      </c>
      <c r="D778" s="30" t="s">
        <v>617</v>
      </c>
      <c r="E778" s="33" t="n">
        <v>0</v>
      </c>
      <c r="F778" s="33" t="n">
        <v>30000000</v>
      </c>
      <c r="G778" s="33" t="n">
        <v>36391356</v>
      </c>
      <c r="H778" s="34" t="s">
        <v>454</v>
      </c>
    </row>
    <row r="779" customFormat="false" ht="17.15" hidden="false" customHeight="false" outlineLevel="0" collapsed="false">
      <c r="A779" s="21" t="s">
        <v>968</v>
      </c>
      <c r="B779" s="15" t="s">
        <v>1226</v>
      </c>
      <c r="C779" s="15" t="s">
        <v>1062</v>
      </c>
      <c r="D779" s="21" t="s">
        <v>1227</v>
      </c>
      <c r="E779" s="35" t="n">
        <v>13110</v>
      </c>
      <c r="F779" s="35" t="n">
        <v>0</v>
      </c>
      <c r="G779" s="35" t="n">
        <v>6391356</v>
      </c>
      <c r="H779" s="36" t="s">
        <v>252</v>
      </c>
    </row>
    <row r="780" customFormat="false" ht="17.15" hidden="false" customHeight="false" outlineLevel="0" collapsed="false">
      <c r="A780" s="21" t="s">
        <v>968</v>
      </c>
      <c r="B780" s="15" t="s">
        <v>1228</v>
      </c>
      <c r="C780" s="21" t="s">
        <v>1001</v>
      </c>
      <c r="D780" s="15" t="s">
        <v>1229</v>
      </c>
      <c r="E780" s="35" t="n">
        <v>3188620</v>
      </c>
      <c r="F780" s="35" t="n">
        <v>0</v>
      </c>
      <c r="G780" s="35" t="n">
        <v>6404466</v>
      </c>
      <c r="H780" s="36" t="s">
        <v>1003</v>
      </c>
    </row>
    <row r="781" customFormat="false" ht="17.15" hidden="false" customHeight="false" outlineLevel="0" collapsed="false">
      <c r="A781" s="21" t="s">
        <v>968</v>
      </c>
      <c r="B781" s="15" t="s">
        <v>1228</v>
      </c>
      <c r="C781" s="21" t="s">
        <v>1001</v>
      </c>
      <c r="D781" s="15" t="s">
        <v>1230</v>
      </c>
      <c r="E781" s="35" t="n">
        <v>404650</v>
      </c>
      <c r="F781" s="35" t="n">
        <v>0</v>
      </c>
      <c r="G781" s="35" t="n">
        <v>9593086</v>
      </c>
      <c r="H781" s="36" t="s">
        <v>1003</v>
      </c>
    </row>
    <row r="782" customFormat="false" ht="17.15" hidden="false" customHeight="false" outlineLevel="0" collapsed="false">
      <c r="A782" s="21" t="s">
        <v>968</v>
      </c>
      <c r="B782" s="15" t="s">
        <v>1228</v>
      </c>
      <c r="C782" s="21" t="s">
        <v>1001</v>
      </c>
      <c r="D782" s="15" t="s">
        <v>1231</v>
      </c>
      <c r="E782" s="35" t="n">
        <v>2508420</v>
      </c>
      <c r="F782" s="35" t="n">
        <v>0</v>
      </c>
      <c r="G782" s="35" t="n">
        <v>9997736</v>
      </c>
      <c r="H782" s="36" t="s">
        <v>1003</v>
      </c>
    </row>
    <row r="783" customFormat="false" ht="17.15" hidden="false" customHeight="false" outlineLevel="0" collapsed="false">
      <c r="A783" s="21" t="s">
        <v>968</v>
      </c>
      <c r="B783" s="15" t="s">
        <v>1228</v>
      </c>
      <c r="C783" s="21" t="s">
        <v>1001</v>
      </c>
      <c r="D783" s="15" t="s">
        <v>1232</v>
      </c>
      <c r="E783" s="35" t="n">
        <v>335000</v>
      </c>
      <c r="F783" s="35" t="n">
        <v>0</v>
      </c>
      <c r="G783" s="35" t="n">
        <v>12506156</v>
      </c>
      <c r="H783" s="36" t="s">
        <v>1003</v>
      </c>
    </row>
    <row r="784" customFormat="false" ht="17.15" hidden="false" customHeight="false" outlineLevel="0" collapsed="false">
      <c r="A784" s="21" t="s">
        <v>968</v>
      </c>
      <c r="B784" s="15" t="s">
        <v>1233</v>
      </c>
      <c r="C784" s="21" t="s">
        <v>990</v>
      </c>
      <c r="D784" s="21" t="s">
        <v>1234</v>
      </c>
      <c r="E784" s="35" t="n">
        <v>1453478</v>
      </c>
      <c r="F784" s="35" t="n">
        <v>0</v>
      </c>
      <c r="G784" s="35" t="n">
        <v>12841156</v>
      </c>
      <c r="H784" s="36" t="s">
        <v>141</v>
      </c>
    </row>
    <row r="785" customFormat="false" ht="17.15" hidden="false" customHeight="false" outlineLevel="0" collapsed="false">
      <c r="A785" s="21" t="s">
        <v>968</v>
      </c>
      <c r="B785" s="15" t="s">
        <v>1235</v>
      </c>
      <c r="C785" s="21" t="s">
        <v>990</v>
      </c>
      <c r="D785" s="15" t="s">
        <v>1123</v>
      </c>
      <c r="E785" s="35" t="n">
        <v>2142340</v>
      </c>
      <c r="F785" s="35" t="n">
        <v>0</v>
      </c>
      <c r="G785" s="35" t="n">
        <v>14294634</v>
      </c>
      <c r="H785" s="36" t="s">
        <v>224</v>
      </c>
    </row>
    <row r="786" customFormat="false" ht="17.15" hidden="false" customHeight="false" outlineLevel="0" collapsed="false">
      <c r="A786" s="21" t="s">
        <v>968</v>
      </c>
      <c r="B786" s="15" t="s">
        <v>1235</v>
      </c>
      <c r="C786" s="21" t="s">
        <v>990</v>
      </c>
      <c r="D786" s="15" t="s">
        <v>1124</v>
      </c>
      <c r="E786" s="35" t="n">
        <v>2075260</v>
      </c>
      <c r="F786" s="35" t="n">
        <v>0</v>
      </c>
      <c r="G786" s="35" t="n">
        <v>16436974</v>
      </c>
      <c r="H786" s="36" t="s">
        <v>224</v>
      </c>
    </row>
    <row r="787" customFormat="false" ht="17.15" hidden="false" customHeight="false" outlineLevel="0" collapsed="false">
      <c r="A787" s="21" t="s">
        <v>968</v>
      </c>
      <c r="B787" s="15" t="s">
        <v>1235</v>
      </c>
      <c r="C787" s="21" t="s">
        <v>990</v>
      </c>
      <c r="D787" s="21" t="s">
        <v>1125</v>
      </c>
      <c r="E787" s="35" t="n">
        <v>2044300</v>
      </c>
      <c r="F787" s="35" t="n">
        <v>0</v>
      </c>
      <c r="G787" s="35" t="n">
        <v>18512234</v>
      </c>
      <c r="H787" s="36" t="s">
        <v>224</v>
      </c>
    </row>
    <row r="788" customFormat="false" ht="17.15" hidden="false" customHeight="false" outlineLevel="0" collapsed="false">
      <c r="A788" s="21" t="s">
        <v>968</v>
      </c>
      <c r="B788" s="15" t="s">
        <v>1235</v>
      </c>
      <c r="C788" s="21" t="s">
        <v>990</v>
      </c>
      <c r="D788" s="21" t="s">
        <v>1126</v>
      </c>
      <c r="E788" s="35" t="n">
        <v>2336970</v>
      </c>
      <c r="F788" s="35" t="n">
        <v>0</v>
      </c>
      <c r="G788" s="35" t="n">
        <v>20556534</v>
      </c>
      <c r="H788" s="36" t="s">
        <v>224</v>
      </c>
    </row>
    <row r="789" customFormat="false" ht="17.15" hidden="false" customHeight="false" outlineLevel="0" collapsed="false">
      <c r="A789" s="21" t="s">
        <v>968</v>
      </c>
      <c r="B789" s="15" t="s">
        <v>1235</v>
      </c>
      <c r="C789" s="21" t="s">
        <v>990</v>
      </c>
      <c r="D789" s="21" t="s">
        <v>1127</v>
      </c>
      <c r="E789" s="35" t="n">
        <v>2217270</v>
      </c>
      <c r="F789" s="35" t="n">
        <v>0</v>
      </c>
      <c r="G789" s="35" t="n">
        <v>22893504</v>
      </c>
      <c r="H789" s="36" t="s">
        <v>224</v>
      </c>
    </row>
    <row r="790" customFormat="false" ht="17.15" hidden="false" customHeight="false" outlineLevel="0" collapsed="false">
      <c r="A790" s="21" t="s">
        <v>968</v>
      </c>
      <c r="B790" s="15" t="s">
        <v>1235</v>
      </c>
      <c r="C790" s="21" t="s">
        <v>990</v>
      </c>
      <c r="D790" s="15" t="s">
        <v>1128</v>
      </c>
      <c r="E790" s="35" t="n">
        <v>4257960</v>
      </c>
      <c r="F790" s="35" t="n">
        <v>0</v>
      </c>
      <c r="G790" s="35" t="n">
        <v>25110774</v>
      </c>
      <c r="H790" s="36" t="s">
        <v>224</v>
      </c>
    </row>
    <row r="791" customFormat="false" ht="17.15" hidden="false" customHeight="false" outlineLevel="0" collapsed="false">
      <c r="A791" s="21" t="s">
        <v>968</v>
      </c>
      <c r="B791" s="15" t="s">
        <v>1235</v>
      </c>
      <c r="C791" s="21" t="s">
        <v>990</v>
      </c>
      <c r="D791" s="21" t="s">
        <v>1129</v>
      </c>
      <c r="E791" s="35" t="n">
        <v>3183910</v>
      </c>
      <c r="F791" s="35" t="n">
        <v>0</v>
      </c>
      <c r="G791" s="35" t="n">
        <v>29368734</v>
      </c>
      <c r="H791" s="36" t="s">
        <v>224</v>
      </c>
    </row>
    <row r="792" customFormat="false" ht="17.15" hidden="false" customHeight="false" outlineLevel="0" collapsed="false">
      <c r="A792" s="21" t="s">
        <v>968</v>
      </c>
      <c r="B792" s="15" t="s">
        <v>1235</v>
      </c>
      <c r="C792" s="21" t="s">
        <v>990</v>
      </c>
      <c r="D792" s="21" t="s">
        <v>1130</v>
      </c>
      <c r="E792" s="35" t="n">
        <v>3651370</v>
      </c>
      <c r="F792" s="35" t="n">
        <v>0</v>
      </c>
      <c r="G792" s="35" t="n">
        <v>32552644</v>
      </c>
      <c r="H792" s="36" t="s">
        <v>224</v>
      </c>
    </row>
    <row r="793" customFormat="false" ht="17.15" hidden="false" customHeight="false" outlineLevel="0" collapsed="false">
      <c r="A793" s="21" t="s">
        <v>968</v>
      </c>
      <c r="B793" s="15" t="s">
        <v>1235</v>
      </c>
      <c r="C793" s="21" t="s">
        <v>990</v>
      </c>
      <c r="D793" s="21" t="s">
        <v>1131</v>
      </c>
      <c r="E793" s="35" t="n">
        <v>3231610</v>
      </c>
      <c r="F793" s="35" t="n">
        <v>0</v>
      </c>
      <c r="G793" s="35" t="n">
        <v>36204014</v>
      </c>
      <c r="H793" s="36" t="s">
        <v>224</v>
      </c>
    </row>
    <row r="794" customFormat="false" ht="17.15" hidden="false" customHeight="false" outlineLevel="0" collapsed="false">
      <c r="A794" s="21" t="s">
        <v>968</v>
      </c>
      <c r="B794" s="15" t="s">
        <v>1235</v>
      </c>
      <c r="C794" s="21" t="s">
        <v>990</v>
      </c>
      <c r="D794" s="21" t="s">
        <v>1132</v>
      </c>
      <c r="E794" s="35" t="n">
        <v>2934030</v>
      </c>
      <c r="F794" s="35" t="n">
        <v>0</v>
      </c>
      <c r="G794" s="35" t="n">
        <v>39435624</v>
      </c>
      <c r="H794" s="36" t="s">
        <v>224</v>
      </c>
    </row>
    <row r="795" customFormat="false" ht="17.15" hidden="false" customHeight="false" outlineLevel="0" collapsed="false">
      <c r="A795" s="30" t="s">
        <v>968</v>
      </c>
      <c r="B795" s="29" t="s">
        <v>1236</v>
      </c>
      <c r="C795" s="30" t="s">
        <v>990</v>
      </c>
      <c r="D795" s="29" t="s">
        <v>991</v>
      </c>
      <c r="E795" s="33" t="n">
        <v>0</v>
      </c>
      <c r="F795" s="33" t="n">
        <v>6000000</v>
      </c>
      <c r="G795" s="33" t="n">
        <v>42369654</v>
      </c>
      <c r="H795" s="34" t="s">
        <v>992</v>
      </c>
    </row>
    <row r="796" customFormat="false" ht="17.15" hidden="false" customHeight="false" outlineLevel="0" collapsed="false">
      <c r="A796" s="30" t="s">
        <v>968</v>
      </c>
      <c r="B796" s="29" t="s">
        <v>1237</v>
      </c>
      <c r="C796" s="30" t="s">
        <v>990</v>
      </c>
      <c r="D796" s="30" t="s">
        <v>617</v>
      </c>
      <c r="E796" s="33" t="n">
        <v>0</v>
      </c>
      <c r="F796" s="33" t="n">
        <v>35000000</v>
      </c>
      <c r="G796" s="33" t="n">
        <v>36369654</v>
      </c>
      <c r="H796" s="34" t="s">
        <v>454</v>
      </c>
    </row>
    <row r="797" customFormat="false" ht="17.15" hidden="false" customHeight="false" outlineLevel="0" collapsed="false">
      <c r="A797" s="21" t="s">
        <v>968</v>
      </c>
      <c r="B797" s="15" t="s">
        <v>1238</v>
      </c>
      <c r="C797" s="15" t="s">
        <v>1062</v>
      </c>
      <c r="D797" s="21" t="s">
        <v>1009</v>
      </c>
      <c r="E797" s="35" t="n">
        <v>165000</v>
      </c>
      <c r="F797" s="35" t="n">
        <v>0</v>
      </c>
      <c r="G797" s="35" t="n">
        <v>1369654</v>
      </c>
      <c r="H797" s="36" t="s">
        <v>492</v>
      </c>
    </row>
    <row r="798" customFormat="false" ht="17.15" hidden="false" customHeight="false" outlineLevel="0" collapsed="false">
      <c r="A798" s="21" t="s">
        <v>968</v>
      </c>
      <c r="B798" s="15" t="s">
        <v>1239</v>
      </c>
      <c r="C798" s="21" t="s">
        <v>1011</v>
      </c>
      <c r="D798" s="15" t="s">
        <v>1240</v>
      </c>
      <c r="E798" s="35" t="n">
        <v>8369880</v>
      </c>
      <c r="F798" s="35" t="n">
        <v>0</v>
      </c>
      <c r="G798" s="35" t="n">
        <v>1534654</v>
      </c>
      <c r="H798" s="36" t="s">
        <v>1013</v>
      </c>
    </row>
    <row r="799" customFormat="false" ht="17.15" hidden="false" customHeight="false" outlineLevel="0" collapsed="false">
      <c r="A799" s="30" t="s">
        <v>968</v>
      </c>
      <c r="B799" s="29" t="s">
        <v>1241</v>
      </c>
      <c r="C799" s="30" t="s">
        <v>990</v>
      </c>
      <c r="D799" s="29" t="s">
        <v>991</v>
      </c>
      <c r="E799" s="33" t="n">
        <v>0</v>
      </c>
      <c r="F799" s="33" t="n">
        <v>8000000</v>
      </c>
      <c r="G799" s="33" t="n">
        <v>9904534</v>
      </c>
      <c r="H799" s="34" t="s">
        <v>992</v>
      </c>
    </row>
    <row r="800" customFormat="false" ht="17.15" hidden="false" customHeight="false" outlineLevel="0" collapsed="false">
      <c r="A800" s="21" t="s">
        <v>968</v>
      </c>
      <c r="B800" s="15" t="s">
        <v>1242</v>
      </c>
      <c r="C800" s="21" t="s">
        <v>990</v>
      </c>
      <c r="D800" s="21" t="s">
        <v>1243</v>
      </c>
      <c r="E800" s="35" t="n">
        <v>418000</v>
      </c>
      <c r="F800" s="35" t="n">
        <v>0</v>
      </c>
      <c r="G800" s="35" t="n">
        <v>1904534</v>
      </c>
      <c r="H800" s="36" t="s">
        <v>149</v>
      </c>
    </row>
    <row r="801" customFormat="false" ht="17.15" hidden="false" customHeight="false" outlineLevel="0" collapsed="false">
      <c r="A801" s="21" t="s">
        <v>968</v>
      </c>
      <c r="B801" s="15" t="s">
        <v>1242</v>
      </c>
      <c r="C801" s="21" t="s">
        <v>990</v>
      </c>
      <c r="D801" s="21" t="s">
        <v>1244</v>
      </c>
      <c r="E801" s="35" t="n">
        <v>132000</v>
      </c>
      <c r="F801" s="35" t="n">
        <v>0</v>
      </c>
      <c r="G801" s="35" t="n">
        <v>2322534</v>
      </c>
      <c r="H801" s="37" t="s">
        <v>176</v>
      </c>
    </row>
    <row r="802" customFormat="false" ht="17.15" hidden="false" customHeight="false" outlineLevel="0" collapsed="false">
      <c r="A802" s="21" t="s">
        <v>968</v>
      </c>
      <c r="B802" s="15" t="s">
        <v>1245</v>
      </c>
      <c r="C802" s="21" t="s">
        <v>970</v>
      </c>
      <c r="D802" s="15" t="s">
        <v>1246</v>
      </c>
      <c r="E802" s="35" t="n">
        <v>96610</v>
      </c>
      <c r="F802" s="35" t="n">
        <v>0</v>
      </c>
      <c r="G802" s="35" t="n">
        <v>2454534</v>
      </c>
      <c r="H802" s="36" t="s">
        <v>972</v>
      </c>
    </row>
    <row r="803" customFormat="false" ht="17.15" hidden="false" customHeight="false" outlineLevel="0" collapsed="false">
      <c r="A803" s="21" t="s">
        <v>968</v>
      </c>
      <c r="B803" s="15" t="s">
        <v>1247</v>
      </c>
      <c r="C803" s="15" t="s">
        <v>1104</v>
      </c>
      <c r="D803" s="21" t="s">
        <v>1248</v>
      </c>
      <c r="E803" s="35" t="n">
        <v>40500</v>
      </c>
      <c r="F803" s="35" t="n">
        <v>0</v>
      </c>
      <c r="G803" s="35" t="n">
        <v>2551144</v>
      </c>
      <c r="H803" s="36" t="s">
        <v>219</v>
      </c>
    </row>
    <row r="804" customFormat="false" ht="17.15" hidden="false" customHeight="false" outlineLevel="0" collapsed="false">
      <c r="A804" s="21" t="s">
        <v>968</v>
      </c>
      <c r="B804" s="15" t="s">
        <v>1249</v>
      </c>
      <c r="C804" s="21" t="s">
        <v>974</v>
      </c>
      <c r="D804" s="21" t="s">
        <v>1089</v>
      </c>
      <c r="E804" s="35" t="n">
        <v>33000</v>
      </c>
      <c r="F804" s="35" t="n">
        <v>0</v>
      </c>
      <c r="G804" s="35" t="n">
        <v>2591644</v>
      </c>
      <c r="H804" s="37" t="s">
        <v>176</v>
      </c>
    </row>
    <row r="805" customFormat="false" ht="17.15" hidden="false" customHeight="false" outlineLevel="0" collapsed="false">
      <c r="A805" s="21" t="s">
        <v>968</v>
      </c>
      <c r="B805" s="15" t="s">
        <v>1249</v>
      </c>
      <c r="C805" s="21" t="s">
        <v>974</v>
      </c>
      <c r="D805" s="21" t="s">
        <v>1090</v>
      </c>
      <c r="E805" s="35" t="n">
        <v>264000</v>
      </c>
      <c r="F805" s="35" t="n">
        <v>0</v>
      </c>
      <c r="G805" s="35" t="n">
        <v>2624644</v>
      </c>
      <c r="H805" s="37" t="s">
        <v>176</v>
      </c>
    </row>
    <row r="806" customFormat="false" ht="17.15" hidden="false" customHeight="false" outlineLevel="0" collapsed="false">
      <c r="A806" s="21" t="s">
        <v>968</v>
      </c>
      <c r="B806" s="15" t="s">
        <v>1249</v>
      </c>
      <c r="C806" s="21" t="s">
        <v>974</v>
      </c>
      <c r="D806" s="21" t="s">
        <v>1091</v>
      </c>
      <c r="E806" s="35" t="n">
        <v>110000</v>
      </c>
      <c r="F806" s="35" t="n">
        <v>0</v>
      </c>
      <c r="G806" s="35" t="n">
        <v>2888644</v>
      </c>
      <c r="H806" s="37" t="s">
        <v>176</v>
      </c>
    </row>
    <row r="807" customFormat="false" ht="17.15" hidden="false" customHeight="false" outlineLevel="0" collapsed="false">
      <c r="A807" s="21" t="s">
        <v>968</v>
      </c>
      <c r="B807" s="15" t="s">
        <v>1249</v>
      </c>
      <c r="C807" s="21" t="s">
        <v>974</v>
      </c>
      <c r="D807" s="21" t="s">
        <v>1092</v>
      </c>
      <c r="E807" s="35" t="n">
        <v>110000</v>
      </c>
      <c r="F807" s="35" t="n">
        <v>0</v>
      </c>
      <c r="G807" s="35" t="n">
        <v>2998644</v>
      </c>
      <c r="H807" s="37" t="s">
        <v>176</v>
      </c>
    </row>
    <row r="808" customFormat="false" ht="17.15" hidden="false" customHeight="false" outlineLevel="0" collapsed="false">
      <c r="A808" s="21" t="s">
        <v>968</v>
      </c>
      <c r="B808" s="15" t="s">
        <v>1250</v>
      </c>
      <c r="C808" s="21" t="s">
        <v>990</v>
      </c>
      <c r="D808" s="21" t="s">
        <v>1251</v>
      </c>
      <c r="E808" s="35" t="n">
        <v>144000</v>
      </c>
      <c r="F808" s="35" t="n">
        <v>0</v>
      </c>
      <c r="G808" s="35" t="n">
        <v>3108644</v>
      </c>
      <c r="H808" s="37" t="s">
        <v>176</v>
      </c>
    </row>
    <row r="809" customFormat="false" ht="17.15" hidden="false" customHeight="false" outlineLevel="0" collapsed="false">
      <c r="A809" s="21" t="s">
        <v>968</v>
      </c>
      <c r="B809" s="15" t="s">
        <v>1250</v>
      </c>
      <c r="C809" s="21" t="s">
        <v>990</v>
      </c>
      <c r="D809" s="21" t="s">
        <v>1083</v>
      </c>
      <c r="E809" s="35" t="n">
        <v>105000</v>
      </c>
      <c r="F809" s="35" t="n">
        <v>0</v>
      </c>
      <c r="G809" s="35" t="n">
        <v>3252644</v>
      </c>
      <c r="H809" s="37" t="s">
        <v>176</v>
      </c>
    </row>
    <row r="810" customFormat="false" ht="17.15" hidden="false" customHeight="false" outlineLevel="0" collapsed="false">
      <c r="A810" s="21" t="s">
        <v>968</v>
      </c>
      <c r="B810" s="15" t="s">
        <v>1250</v>
      </c>
      <c r="C810" s="21" t="s">
        <v>990</v>
      </c>
      <c r="D810" s="21" t="s">
        <v>1252</v>
      </c>
      <c r="E810" s="35" t="n">
        <v>624096</v>
      </c>
      <c r="F810" s="35" t="n">
        <v>0</v>
      </c>
      <c r="G810" s="35" t="n">
        <v>3357644</v>
      </c>
      <c r="H810" s="36" t="s">
        <v>149</v>
      </c>
    </row>
    <row r="811" customFormat="false" ht="17.15" hidden="false" customHeight="false" outlineLevel="0" collapsed="false">
      <c r="A811" s="21" t="s">
        <v>968</v>
      </c>
      <c r="B811" s="15" t="s">
        <v>1250</v>
      </c>
      <c r="C811" s="21" t="s">
        <v>990</v>
      </c>
      <c r="D811" s="21" t="s">
        <v>1253</v>
      </c>
      <c r="E811" s="35" t="n">
        <v>2739055</v>
      </c>
      <c r="F811" s="35" t="n">
        <v>0</v>
      </c>
      <c r="G811" s="35" t="n">
        <v>3981740</v>
      </c>
      <c r="H811" s="36" t="s">
        <v>141</v>
      </c>
    </row>
    <row r="812" customFormat="false" ht="17.15" hidden="false" customHeight="false" outlineLevel="0" collapsed="false">
      <c r="A812" s="21" t="s">
        <v>968</v>
      </c>
      <c r="B812" s="15" t="s">
        <v>1250</v>
      </c>
      <c r="C812" s="21" t="s">
        <v>990</v>
      </c>
      <c r="D812" s="21" t="s">
        <v>1254</v>
      </c>
      <c r="E812" s="35" t="n">
        <v>1349799</v>
      </c>
      <c r="F812" s="35" t="n">
        <v>0</v>
      </c>
      <c r="G812" s="35" t="n">
        <v>6720795</v>
      </c>
      <c r="H812" s="36" t="s">
        <v>141</v>
      </c>
    </row>
    <row r="813" customFormat="false" ht="17.15" hidden="false" customHeight="false" outlineLevel="0" collapsed="false">
      <c r="A813" s="21" t="s">
        <v>968</v>
      </c>
      <c r="B813" s="15" t="s">
        <v>1250</v>
      </c>
      <c r="C813" s="21" t="s">
        <v>990</v>
      </c>
      <c r="D813" s="21" t="s">
        <v>1255</v>
      </c>
      <c r="E813" s="35" t="n">
        <v>299200</v>
      </c>
      <c r="F813" s="35" t="n">
        <v>0</v>
      </c>
      <c r="G813" s="35" t="n">
        <v>8070594</v>
      </c>
      <c r="H813" s="36" t="s">
        <v>149</v>
      </c>
    </row>
    <row r="814" customFormat="false" ht="17.15" hidden="false" customHeight="false" outlineLevel="0" collapsed="false">
      <c r="A814" s="21" t="s">
        <v>968</v>
      </c>
      <c r="B814" s="15" t="s">
        <v>1250</v>
      </c>
      <c r="C814" s="21" t="s">
        <v>990</v>
      </c>
      <c r="D814" s="21" t="s">
        <v>1256</v>
      </c>
      <c r="E814" s="35" t="n">
        <v>151800</v>
      </c>
      <c r="F814" s="35" t="n">
        <v>0</v>
      </c>
      <c r="G814" s="35" t="n">
        <v>8369794</v>
      </c>
      <c r="H814" s="37" t="s">
        <v>176</v>
      </c>
    </row>
    <row r="815" customFormat="false" ht="17.15" hidden="false" customHeight="false" outlineLevel="0" collapsed="false">
      <c r="A815" s="21" t="s">
        <v>968</v>
      </c>
      <c r="B815" s="15" t="s">
        <v>1250</v>
      </c>
      <c r="C815" s="21" t="s">
        <v>990</v>
      </c>
      <c r="D815" s="21" t="s">
        <v>1257</v>
      </c>
      <c r="E815" s="35" t="n">
        <v>171600</v>
      </c>
      <c r="F815" s="35" t="n">
        <v>0</v>
      </c>
      <c r="G815" s="35" t="n">
        <v>8521594</v>
      </c>
      <c r="H815" s="36" t="s">
        <v>149</v>
      </c>
    </row>
    <row r="816" customFormat="false" ht="17.15" hidden="false" customHeight="false" outlineLevel="0" collapsed="false">
      <c r="A816" s="21" t="s">
        <v>968</v>
      </c>
      <c r="B816" s="15" t="s">
        <v>1250</v>
      </c>
      <c r="C816" s="21" t="s">
        <v>990</v>
      </c>
      <c r="D816" s="21" t="s">
        <v>1150</v>
      </c>
      <c r="E816" s="35" t="n">
        <v>99000</v>
      </c>
      <c r="F816" s="35" t="n">
        <v>0</v>
      </c>
      <c r="G816" s="35" t="n">
        <v>8693194</v>
      </c>
      <c r="H816" s="37" t="s">
        <v>176</v>
      </c>
    </row>
    <row r="817" customFormat="false" ht="17.15" hidden="false" customHeight="false" outlineLevel="0" collapsed="false">
      <c r="A817" s="21" t="s">
        <v>968</v>
      </c>
      <c r="B817" s="15" t="s">
        <v>1250</v>
      </c>
      <c r="C817" s="21" t="s">
        <v>990</v>
      </c>
      <c r="D817" s="21" t="s">
        <v>1258</v>
      </c>
      <c r="E817" s="35" t="n">
        <v>990000</v>
      </c>
      <c r="F817" s="35" t="n">
        <v>0</v>
      </c>
      <c r="G817" s="35" t="n">
        <v>8792194</v>
      </c>
      <c r="H817" s="36" t="s">
        <v>141</v>
      </c>
    </row>
    <row r="818" customFormat="false" ht="17.15" hidden="false" customHeight="false" outlineLevel="0" collapsed="false">
      <c r="A818" s="21" t="s">
        <v>968</v>
      </c>
      <c r="B818" s="15" t="s">
        <v>1250</v>
      </c>
      <c r="C818" s="21" t="s">
        <v>990</v>
      </c>
      <c r="D818" s="21" t="s">
        <v>1259</v>
      </c>
      <c r="E818" s="35" t="n">
        <v>130000</v>
      </c>
      <c r="F818" s="35" t="n">
        <v>0</v>
      </c>
      <c r="G818" s="35" t="n">
        <v>9782194</v>
      </c>
      <c r="H818" s="37" t="s">
        <v>176</v>
      </c>
    </row>
    <row r="819" customFormat="false" ht="17.15" hidden="false" customHeight="false" outlineLevel="0" collapsed="false">
      <c r="A819" s="21" t="s">
        <v>968</v>
      </c>
      <c r="B819" s="15" t="s">
        <v>1250</v>
      </c>
      <c r="C819" s="21" t="s">
        <v>990</v>
      </c>
      <c r="D819" s="21" t="s">
        <v>1260</v>
      </c>
      <c r="E819" s="35" t="n">
        <v>48000</v>
      </c>
      <c r="F819" s="35" t="n">
        <v>0</v>
      </c>
      <c r="G819" s="35" t="n">
        <v>9912194</v>
      </c>
      <c r="H819" s="36" t="s">
        <v>425</v>
      </c>
    </row>
    <row r="820" customFormat="false" ht="17.15" hidden="false" customHeight="false" outlineLevel="0" collapsed="false">
      <c r="A820" s="30" t="s">
        <v>968</v>
      </c>
      <c r="B820" s="29" t="s">
        <v>1250</v>
      </c>
      <c r="C820" s="30" t="s">
        <v>990</v>
      </c>
      <c r="D820" s="30" t="s">
        <v>1261</v>
      </c>
      <c r="E820" s="33" t="n">
        <v>440000</v>
      </c>
      <c r="F820" s="33" t="n">
        <v>0</v>
      </c>
      <c r="G820" s="33" t="n">
        <v>9960194</v>
      </c>
      <c r="H820" s="34" t="s">
        <v>168</v>
      </c>
    </row>
    <row r="821" customFormat="false" ht="17.15" hidden="false" customHeight="false" outlineLevel="0" collapsed="false">
      <c r="A821" s="21" t="s">
        <v>968</v>
      </c>
      <c r="B821" s="15" t="s">
        <v>1262</v>
      </c>
      <c r="C821" s="21" t="s">
        <v>990</v>
      </c>
      <c r="D821" s="21" t="s">
        <v>1263</v>
      </c>
      <c r="E821" s="35" t="n">
        <v>75000</v>
      </c>
      <c r="F821" s="35" t="n">
        <v>0</v>
      </c>
      <c r="G821" s="35" t="n">
        <v>10400194</v>
      </c>
      <c r="H821" s="37" t="s">
        <v>176</v>
      </c>
    </row>
    <row r="822" customFormat="false" ht="15" hidden="false" customHeight="false" outlineLevel="0" collapsed="false">
      <c r="A822" s="21" t="s">
        <v>968</v>
      </c>
      <c r="B822" s="15" t="s">
        <v>1264</v>
      </c>
      <c r="C822" s="21" t="s">
        <v>980</v>
      </c>
      <c r="D822" s="15" t="s">
        <v>985</v>
      </c>
      <c r="E822" s="35" t="n">
        <v>760136</v>
      </c>
      <c r="F822" s="35" t="n">
        <v>0</v>
      </c>
      <c r="G822" s="35" t="n">
        <v>10475194</v>
      </c>
      <c r="H822" s="36" t="s">
        <v>198</v>
      </c>
    </row>
    <row r="823" customFormat="false" ht="15" hidden="false" customHeight="false" outlineLevel="0" collapsed="false">
      <c r="A823" s="21" t="s">
        <v>968</v>
      </c>
      <c r="B823" s="15" t="s">
        <v>1264</v>
      </c>
      <c r="C823" s="21" t="s">
        <v>980</v>
      </c>
      <c r="D823" s="15" t="s">
        <v>981</v>
      </c>
      <c r="E823" s="35" t="n">
        <v>5671503</v>
      </c>
      <c r="F823" s="35" t="n">
        <v>0</v>
      </c>
      <c r="G823" s="35" t="n">
        <v>11235330</v>
      </c>
      <c r="H823" s="36" t="s">
        <v>198</v>
      </c>
    </row>
    <row r="824" customFormat="false" ht="15" hidden="false" customHeight="false" outlineLevel="0" collapsed="false">
      <c r="A824" s="21" t="s">
        <v>968</v>
      </c>
      <c r="B824" s="15" t="s">
        <v>1264</v>
      </c>
      <c r="C824" s="21" t="s">
        <v>980</v>
      </c>
      <c r="D824" s="15" t="s">
        <v>982</v>
      </c>
      <c r="E824" s="35" t="n">
        <v>290499</v>
      </c>
      <c r="F824" s="35" t="n">
        <v>0</v>
      </c>
      <c r="G824" s="35" t="n">
        <v>16906833</v>
      </c>
      <c r="H824" s="36" t="s">
        <v>198</v>
      </c>
    </row>
    <row r="825" customFormat="false" ht="15" hidden="false" customHeight="false" outlineLevel="0" collapsed="false">
      <c r="A825" s="21" t="s">
        <v>968</v>
      </c>
      <c r="B825" s="15" t="s">
        <v>1264</v>
      </c>
      <c r="C825" s="21" t="s">
        <v>980</v>
      </c>
      <c r="D825" s="15" t="s">
        <v>983</v>
      </c>
      <c r="E825" s="35" t="n">
        <v>193666</v>
      </c>
      <c r="F825" s="35" t="n">
        <v>0</v>
      </c>
      <c r="G825" s="35" t="n">
        <v>17197332</v>
      </c>
      <c r="H825" s="36" t="s">
        <v>198</v>
      </c>
    </row>
    <row r="826" customFormat="false" ht="15" hidden="false" customHeight="false" outlineLevel="0" collapsed="false">
      <c r="A826" s="21" t="s">
        <v>968</v>
      </c>
      <c r="B826" s="15" t="s">
        <v>1264</v>
      </c>
      <c r="C826" s="21" t="s">
        <v>980</v>
      </c>
      <c r="D826" s="15" t="s">
        <v>984</v>
      </c>
      <c r="E826" s="35" t="n">
        <v>895246</v>
      </c>
      <c r="F826" s="35" t="n">
        <v>0</v>
      </c>
      <c r="G826" s="35" t="n">
        <v>17390998</v>
      </c>
      <c r="H826" s="36" t="s">
        <v>198</v>
      </c>
    </row>
    <row r="827" customFormat="false" ht="17.15" hidden="false" customHeight="false" outlineLevel="0" collapsed="false">
      <c r="A827" s="21" t="s">
        <v>968</v>
      </c>
      <c r="B827" s="15" t="s">
        <v>1265</v>
      </c>
      <c r="C827" s="21" t="s">
        <v>990</v>
      </c>
      <c r="D827" s="21" t="s">
        <v>1266</v>
      </c>
      <c r="E827" s="35" t="n">
        <v>4400</v>
      </c>
      <c r="F827" s="35" t="n">
        <v>0</v>
      </c>
      <c r="G827" s="35" t="n">
        <v>18286244</v>
      </c>
      <c r="H827" s="36" t="s">
        <v>494</v>
      </c>
    </row>
    <row r="828" customFormat="false" ht="17.15" hidden="false" customHeight="false" outlineLevel="0" collapsed="false">
      <c r="A828" s="21" t="s">
        <v>968</v>
      </c>
      <c r="B828" s="15" t="s">
        <v>1267</v>
      </c>
      <c r="C828" s="15" t="s">
        <v>170</v>
      </c>
      <c r="D828" s="21" t="s">
        <v>988</v>
      </c>
      <c r="E828" s="35" t="n">
        <v>44000</v>
      </c>
      <c r="F828" s="35" t="n">
        <v>0</v>
      </c>
      <c r="G828" s="35" t="n">
        <v>18290644</v>
      </c>
      <c r="H828" s="36" t="s">
        <v>494</v>
      </c>
    </row>
    <row r="829" customFormat="false" ht="17.15" hidden="false" customHeight="false" outlineLevel="0" collapsed="false">
      <c r="A829" s="21" t="s">
        <v>968</v>
      </c>
      <c r="B829" s="15" t="s">
        <v>1268</v>
      </c>
      <c r="C829" s="15" t="s">
        <v>1104</v>
      </c>
      <c r="D829" s="21" t="s">
        <v>1269</v>
      </c>
      <c r="E829" s="35" t="n">
        <v>70000</v>
      </c>
      <c r="F829" s="35" t="n">
        <v>0</v>
      </c>
      <c r="G829" s="35" t="n">
        <v>18334644</v>
      </c>
      <c r="H829" s="37" t="s">
        <v>176</v>
      </c>
    </row>
    <row r="830" customFormat="false" ht="17.15" hidden="false" customHeight="false" outlineLevel="0" collapsed="false">
      <c r="A830" s="21" t="s">
        <v>968</v>
      </c>
      <c r="B830" s="15" t="s">
        <v>1270</v>
      </c>
      <c r="C830" s="15" t="s">
        <v>1104</v>
      </c>
      <c r="D830" s="21" t="s">
        <v>1269</v>
      </c>
      <c r="E830" s="35" t="n">
        <v>32000</v>
      </c>
      <c r="F830" s="35" t="n">
        <v>0</v>
      </c>
      <c r="G830" s="35" t="n">
        <v>18404644</v>
      </c>
      <c r="H830" s="37" t="s">
        <v>176</v>
      </c>
    </row>
    <row r="831" customFormat="false" ht="17.15" hidden="false" customHeight="false" outlineLevel="0" collapsed="false">
      <c r="A831" s="21" t="s">
        <v>968</v>
      </c>
      <c r="B831" s="15" t="s">
        <v>1271</v>
      </c>
      <c r="C831" s="15" t="s">
        <v>1062</v>
      </c>
      <c r="D831" s="21" t="s">
        <v>995</v>
      </c>
      <c r="E831" s="35" t="n">
        <v>1563356</v>
      </c>
      <c r="F831" s="35" t="n">
        <v>0</v>
      </c>
      <c r="G831" s="35" t="n">
        <v>18436644</v>
      </c>
      <c r="H831" s="36" t="s">
        <v>184</v>
      </c>
    </row>
    <row r="832" customFormat="false" ht="17.15" hidden="false" customHeight="false" outlineLevel="0" collapsed="false">
      <c r="A832" s="30" t="s">
        <v>968</v>
      </c>
      <c r="B832" s="29" t="s">
        <v>1272</v>
      </c>
      <c r="C832" s="30" t="s">
        <v>990</v>
      </c>
      <c r="D832" s="30" t="s">
        <v>617</v>
      </c>
      <c r="E832" s="33" t="n">
        <v>0</v>
      </c>
      <c r="F832" s="33" t="n">
        <v>20000000</v>
      </c>
      <c r="G832" s="33" t="n">
        <v>20000000</v>
      </c>
      <c r="H832" s="34" t="s">
        <v>454</v>
      </c>
    </row>
    <row r="833" customFormat="false" ht="17.15" hidden="false" customHeight="false" outlineLevel="0" collapsed="false">
      <c r="A833" s="21" t="s">
        <v>968</v>
      </c>
      <c r="B833" s="15" t="s">
        <v>1273</v>
      </c>
      <c r="C833" s="15" t="s">
        <v>1062</v>
      </c>
      <c r="D833" s="21" t="s">
        <v>995</v>
      </c>
      <c r="E833" s="35" t="n">
        <v>4</v>
      </c>
      <c r="F833" s="35" t="n">
        <v>0</v>
      </c>
      <c r="G833" s="35" t="n">
        <v>0</v>
      </c>
      <c r="H833" s="36" t="s">
        <v>184</v>
      </c>
    </row>
    <row r="834" customFormat="false" ht="17.15" hidden="false" customHeight="false" outlineLevel="0" collapsed="false">
      <c r="A834" s="21" t="s">
        <v>968</v>
      </c>
      <c r="B834" s="15" t="s">
        <v>1274</v>
      </c>
      <c r="C834" s="21" t="s">
        <v>1011</v>
      </c>
      <c r="D834" s="15" t="s">
        <v>1275</v>
      </c>
      <c r="E834" s="35" t="n">
        <v>256420</v>
      </c>
      <c r="F834" s="35" t="n">
        <v>0</v>
      </c>
      <c r="G834" s="35" t="n">
        <v>4</v>
      </c>
      <c r="H834" s="36" t="s">
        <v>1013</v>
      </c>
    </row>
    <row r="835" customFormat="false" ht="17.15" hidden="false" customHeight="false" outlineLevel="0" collapsed="false">
      <c r="A835" s="21" t="s">
        <v>968</v>
      </c>
      <c r="B835" s="15" t="s">
        <v>1276</v>
      </c>
      <c r="C835" s="21" t="s">
        <v>990</v>
      </c>
      <c r="D835" s="21" t="s">
        <v>1277</v>
      </c>
      <c r="E835" s="35" t="n">
        <v>4807000</v>
      </c>
      <c r="F835" s="35" t="n">
        <v>0</v>
      </c>
      <c r="G835" s="35" t="n">
        <v>256424</v>
      </c>
      <c r="H835" s="36" t="s">
        <v>494</v>
      </c>
    </row>
    <row r="836" customFormat="false" ht="17.15" hidden="false" customHeight="false" outlineLevel="0" collapsed="false">
      <c r="A836" s="30" t="s">
        <v>968</v>
      </c>
      <c r="B836" s="29" t="s">
        <v>1278</v>
      </c>
      <c r="C836" s="30" t="s">
        <v>990</v>
      </c>
      <c r="D836" s="29" t="s">
        <v>991</v>
      </c>
      <c r="E836" s="33" t="n">
        <v>0</v>
      </c>
      <c r="F836" s="33" t="n">
        <v>4000000</v>
      </c>
      <c r="G836" s="33" t="n">
        <v>5063424</v>
      </c>
      <c r="H836" s="34" t="s">
        <v>992</v>
      </c>
    </row>
    <row r="837" customFormat="false" ht="17.15" hidden="false" customHeight="false" outlineLevel="0" collapsed="false">
      <c r="A837" s="21" t="s">
        <v>968</v>
      </c>
      <c r="B837" s="15" t="s">
        <v>1279</v>
      </c>
      <c r="C837" s="15" t="s">
        <v>1062</v>
      </c>
      <c r="D837" s="21" t="s">
        <v>1009</v>
      </c>
      <c r="E837" s="35" t="n">
        <v>165000</v>
      </c>
      <c r="F837" s="35" t="n">
        <v>0</v>
      </c>
      <c r="G837" s="35" t="n">
        <v>1063424</v>
      </c>
      <c r="H837" s="36" t="s">
        <v>492</v>
      </c>
    </row>
    <row r="838" customFormat="false" ht="17.15" hidden="false" customHeight="false" outlineLevel="0" collapsed="false">
      <c r="A838" s="38" t="s">
        <v>968</v>
      </c>
      <c r="B838" s="39" t="s">
        <v>1280</v>
      </c>
      <c r="C838" s="38" t="s">
        <v>250</v>
      </c>
      <c r="D838" s="39" t="s">
        <v>1281</v>
      </c>
      <c r="E838" s="40" t="n">
        <v>3000000</v>
      </c>
      <c r="F838" s="40" t="n">
        <v>0</v>
      </c>
      <c r="G838" s="40" t="n">
        <v>1228424</v>
      </c>
      <c r="H838" s="41" t="s">
        <v>1113</v>
      </c>
    </row>
    <row r="839" customFormat="false" ht="17.15" hidden="false" customHeight="false" outlineLevel="0" collapsed="false">
      <c r="A839" s="21" t="s">
        <v>968</v>
      </c>
      <c r="B839" s="15" t="s">
        <v>1282</v>
      </c>
      <c r="C839" s="21" t="s">
        <v>1001</v>
      </c>
      <c r="D839" s="15" t="s">
        <v>1283</v>
      </c>
      <c r="E839" s="35" t="n">
        <v>3138940</v>
      </c>
      <c r="F839" s="35" t="n">
        <v>0</v>
      </c>
      <c r="G839" s="35" t="n">
        <v>4228424</v>
      </c>
      <c r="H839" s="36" t="s">
        <v>1003</v>
      </c>
    </row>
    <row r="840" customFormat="false" ht="17.15" hidden="false" customHeight="false" outlineLevel="0" collapsed="false">
      <c r="A840" s="21" t="s">
        <v>968</v>
      </c>
      <c r="B840" s="15" t="s">
        <v>1282</v>
      </c>
      <c r="C840" s="21" t="s">
        <v>1001</v>
      </c>
      <c r="D840" s="15" t="s">
        <v>1284</v>
      </c>
      <c r="E840" s="35" t="n">
        <v>2376400</v>
      </c>
      <c r="F840" s="35" t="n">
        <v>0</v>
      </c>
      <c r="G840" s="35" t="n">
        <v>7367364</v>
      </c>
      <c r="H840" s="36" t="s">
        <v>1003</v>
      </c>
    </row>
    <row r="841" customFormat="false" ht="17.15" hidden="false" customHeight="false" outlineLevel="0" collapsed="false">
      <c r="A841" s="21" t="s">
        <v>968</v>
      </c>
      <c r="B841" s="15" t="s">
        <v>1285</v>
      </c>
      <c r="C841" s="21" t="s">
        <v>1001</v>
      </c>
      <c r="D841" s="15" t="s">
        <v>1286</v>
      </c>
      <c r="E841" s="35" t="n">
        <v>335000</v>
      </c>
      <c r="F841" s="35" t="n">
        <v>0</v>
      </c>
      <c r="G841" s="35" t="n">
        <v>9743764</v>
      </c>
      <c r="H841" s="36" t="s">
        <v>1003</v>
      </c>
    </row>
    <row r="842" customFormat="false" ht="17.15" hidden="false" customHeight="false" outlineLevel="0" collapsed="false">
      <c r="A842" s="21" t="s">
        <v>968</v>
      </c>
      <c r="B842" s="15" t="s">
        <v>1285</v>
      </c>
      <c r="C842" s="21" t="s">
        <v>1001</v>
      </c>
      <c r="D842" s="15" t="s">
        <v>1287</v>
      </c>
      <c r="E842" s="35" t="n">
        <v>408090</v>
      </c>
      <c r="F842" s="35" t="n">
        <v>0</v>
      </c>
      <c r="G842" s="35" t="n">
        <v>10078764</v>
      </c>
      <c r="H842" s="36" t="s">
        <v>1003</v>
      </c>
    </row>
    <row r="843" customFormat="false" ht="17.15" hidden="false" customHeight="false" outlineLevel="0" collapsed="false">
      <c r="A843" s="21" t="s">
        <v>968</v>
      </c>
      <c r="B843" s="15" t="s">
        <v>1288</v>
      </c>
      <c r="C843" s="21" t="s">
        <v>990</v>
      </c>
      <c r="D843" s="21" t="s">
        <v>1187</v>
      </c>
      <c r="E843" s="35" t="n">
        <v>1907990</v>
      </c>
      <c r="F843" s="35" t="n">
        <v>0</v>
      </c>
      <c r="G843" s="35" t="n">
        <v>10486854</v>
      </c>
      <c r="H843" s="36" t="s">
        <v>224</v>
      </c>
    </row>
    <row r="844" customFormat="false" ht="17.15" hidden="false" customHeight="false" outlineLevel="0" collapsed="false">
      <c r="A844" s="21" t="s">
        <v>968</v>
      </c>
      <c r="B844" s="15" t="s">
        <v>1288</v>
      </c>
      <c r="C844" s="21" t="s">
        <v>990</v>
      </c>
      <c r="D844" s="21" t="s">
        <v>1188</v>
      </c>
      <c r="E844" s="35" t="n">
        <v>1907990</v>
      </c>
      <c r="F844" s="35" t="n">
        <v>0</v>
      </c>
      <c r="G844" s="35" t="n">
        <v>12394844</v>
      </c>
      <c r="H844" s="36" t="s">
        <v>224</v>
      </c>
    </row>
    <row r="845" customFormat="false" ht="17.15" hidden="false" customHeight="false" outlineLevel="0" collapsed="false">
      <c r="A845" s="21" t="s">
        <v>968</v>
      </c>
      <c r="B845" s="15" t="s">
        <v>1288</v>
      </c>
      <c r="C845" s="21" t="s">
        <v>990</v>
      </c>
      <c r="D845" s="21" t="s">
        <v>1189</v>
      </c>
      <c r="E845" s="35" t="n">
        <v>1907990</v>
      </c>
      <c r="F845" s="35" t="n">
        <v>0</v>
      </c>
      <c r="G845" s="35" t="n">
        <v>14302834</v>
      </c>
      <c r="H845" s="36" t="s">
        <v>224</v>
      </c>
    </row>
    <row r="846" customFormat="false" ht="17.15" hidden="false" customHeight="false" outlineLevel="0" collapsed="false">
      <c r="A846" s="21" t="s">
        <v>968</v>
      </c>
      <c r="B846" s="15" t="s">
        <v>1288</v>
      </c>
      <c r="C846" s="21" t="s">
        <v>990</v>
      </c>
      <c r="D846" s="21" t="s">
        <v>1190</v>
      </c>
      <c r="E846" s="35" t="n">
        <v>1948520</v>
      </c>
      <c r="F846" s="35" t="n">
        <v>0</v>
      </c>
      <c r="G846" s="35" t="n">
        <v>16210824</v>
      </c>
      <c r="H846" s="36" t="s">
        <v>224</v>
      </c>
    </row>
    <row r="847" customFormat="false" ht="17.15" hidden="false" customHeight="false" outlineLevel="0" collapsed="false">
      <c r="A847" s="21" t="s">
        <v>968</v>
      </c>
      <c r="B847" s="15" t="s">
        <v>1288</v>
      </c>
      <c r="C847" s="21" t="s">
        <v>990</v>
      </c>
      <c r="D847" s="21" t="s">
        <v>1180</v>
      </c>
      <c r="E847" s="35" t="n">
        <v>2197790</v>
      </c>
      <c r="F847" s="35" t="n">
        <v>0</v>
      </c>
      <c r="G847" s="35" t="n">
        <v>18159344</v>
      </c>
      <c r="H847" s="36" t="s">
        <v>224</v>
      </c>
    </row>
    <row r="848" customFormat="false" ht="17.15" hidden="false" customHeight="false" outlineLevel="0" collapsed="false">
      <c r="A848" s="21" t="s">
        <v>968</v>
      </c>
      <c r="B848" s="15" t="s">
        <v>1288</v>
      </c>
      <c r="C848" s="21" t="s">
        <v>990</v>
      </c>
      <c r="D848" s="15" t="s">
        <v>1181</v>
      </c>
      <c r="E848" s="35" t="n">
        <v>4273430</v>
      </c>
      <c r="F848" s="35" t="n">
        <v>0</v>
      </c>
      <c r="G848" s="35" t="n">
        <v>20357134</v>
      </c>
      <c r="H848" s="36" t="s">
        <v>224</v>
      </c>
    </row>
    <row r="849" customFormat="false" ht="17.15" hidden="false" customHeight="false" outlineLevel="0" collapsed="false">
      <c r="A849" s="21" t="s">
        <v>968</v>
      </c>
      <c r="B849" s="15" t="s">
        <v>1289</v>
      </c>
      <c r="C849" s="21" t="s">
        <v>990</v>
      </c>
      <c r="D849" s="21" t="s">
        <v>1182</v>
      </c>
      <c r="E849" s="35" t="n">
        <v>3221490</v>
      </c>
      <c r="F849" s="35" t="n">
        <v>0</v>
      </c>
      <c r="G849" s="35" t="n">
        <v>24630564</v>
      </c>
      <c r="H849" s="36" t="s">
        <v>224</v>
      </c>
    </row>
    <row r="850" customFormat="false" ht="17.15" hidden="false" customHeight="false" outlineLevel="0" collapsed="false">
      <c r="A850" s="21" t="s">
        <v>968</v>
      </c>
      <c r="B850" s="15" t="s">
        <v>1289</v>
      </c>
      <c r="C850" s="21" t="s">
        <v>990</v>
      </c>
      <c r="D850" s="21" t="s">
        <v>1183</v>
      </c>
      <c r="E850" s="35" t="n">
        <v>3656610</v>
      </c>
      <c r="F850" s="35" t="n">
        <v>0</v>
      </c>
      <c r="G850" s="35" t="n">
        <v>27852054</v>
      </c>
      <c r="H850" s="36" t="s">
        <v>224</v>
      </c>
    </row>
    <row r="851" customFormat="false" ht="17.15" hidden="false" customHeight="false" outlineLevel="0" collapsed="false">
      <c r="A851" s="21" t="s">
        <v>968</v>
      </c>
      <c r="B851" s="15" t="s">
        <v>1289</v>
      </c>
      <c r="C851" s="21" t="s">
        <v>990</v>
      </c>
      <c r="D851" s="21" t="s">
        <v>1184</v>
      </c>
      <c r="E851" s="35" t="n">
        <v>3270850</v>
      </c>
      <c r="F851" s="35" t="n">
        <v>0</v>
      </c>
      <c r="G851" s="35" t="n">
        <v>31508664</v>
      </c>
      <c r="H851" s="36" t="s">
        <v>224</v>
      </c>
    </row>
    <row r="852" customFormat="false" ht="17.15" hidden="false" customHeight="false" outlineLevel="0" collapsed="false">
      <c r="A852" s="21" t="s">
        <v>968</v>
      </c>
      <c r="B852" s="15" t="s">
        <v>1289</v>
      </c>
      <c r="C852" s="21" t="s">
        <v>990</v>
      </c>
      <c r="D852" s="21" t="s">
        <v>1185</v>
      </c>
      <c r="E852" s="35" t="n">
        <v>2955490</v>
      </c>
      <c r="F852" s="35" t="n">
        <v>0</v>
      </c>
      <c r="G852" s="35" t="n">
        <v>34779514</v>
      </c>
      <c r="H852" s="36" t="s">
        <v>224</v>
      </c>
    </row>
    <row r="853" customFormat="false" ht="17.15" hidden="false" customHeight="false" outlineLevel="0" collapsed="false">
      <c r="A853" s="21" t="s">
        <v>968</v>
      </c>
      <c r="B853" s="15" t="s">
        <v>1289</v>
      </c>
      <c r="C853" s="21" t="s">
        <v>990</v>
      </c>
      <c r="D853" s="21" t="s">
        <v>1191</v>
      </c>
      <c r="E853" s="35" t="n">
        <v>6695000</v>
      </c>
      <c r="F853" s="35" t="n">
        <v>0</v>
      </c>
      <c r="G853" s="35" t="n">
        <v>37735004</v>
      </c>
      <c r="H853" s="36" t="s">
        <v>224</v>
      </c>
    </row>
    <row r="854" customFormat="false" ht="17.15" hidden="false" customHeight="false" outlineLevel="0" collapsed="false">
      <c r="A854" s="30" t="s">
        <v>968</v>
      </c>
      <c r="B854" s="29" t="s">
        <v>1290</v>
      </c>
      <c r="C854" s="30" t="s">
        <v>990</v>
      </c>
      <c r="D854" s="29" t="s">
        <v>991</v>
      </c>
      <c r="E854" s="33" t="n">
        <v>0</v>
      </c>
      <c r="F854" s="33" t="n">
        <v>6000000</v>
      </c>
      <c r="G854" s="33" t="n">
        <v>44430004</v>
      </c>
      <c r="H854" s="34" t="s">
        <v>992</v>
      </c>
    </row>
    <row r="855" customFormat="false" ht="17.15" hidden="false" customHeight="false" outlineLevel="0" collapsed="false">
      <c r="A855" s="30" t="s">
        <v>968</v>
      </c>
      <c r="B855" s="29" t="s">
        <v>1291</v>
      </c>
      <c r="C855" s="30" t="s">
        <v>990</v>
      </c>
      <c r="D855" s="30" t="s">
        <v>617</v>
      </c>
      <c r="E855" s="33" t="n">
        <v>0</v>
      </c>
      <c r="F855" s="33" t="n">
        <v>30000000</v>
      </c>
      <c r="G855" s="33" t="n">
        <v>38430004</v>
      </c>
      <c r="H855" s="34" t="s">
        <v>454</v>
      </c>
    </row>
    <row r="856" customFormat="false" ht="17.15" hidden="false" customHeight="false" outlineLevel="0" collapsed="false">
      <c r="A856" s="21" t="s">
        <v>968</v>
      </c>
      <c r="B856" s="15" t="s">
        <v>1292</v>
      </c>
      <c r="C856" s="21" t="s">
        <v>990</v>
      </c>
      <c r="D856" s="21" t="s">
        <v>1293</v>
      </c>
      <c r="E856" s="35" t="n">
        <v>1500000</v>
      </c>
      <c r="F856" s="35" t="n">
        <v>0</v>
      </c>
      <c r="G856" s="35" t="n">
        <v>8430004</v>
      </c>
      <c r="H856" s="37" t="s">
        <v>176</v>
      </c>
    </row>
    <row r="857" customFormat="false" ht="17.15" hidden="false" customHeight="false" outlineLevel="0" collapsed="false">
      <c r="A857" s="21" t="s">
        <v>968</v>
      </c>
      <c r="B857" s="15" t="s">
        <v>1294</v>
      </c>
      <c r="C857" s="21" t="s">
        <v>990</v>
      </c>
      <c r="D857" s="21" t="s">
        <v>1295</v>
      </c>
      <c r="E857" s="35" t="n">
        <v>70000</v>
      </c>
      <c r="F857" s="35" t="n">
        <v>0</v>
      </c>
      <c r="G857" s="35" t="n">
        <v>9930004</v>
      </c>
      <c r="H857" s="36" t="s">
        <v>149</v>
      </c>
    </row>
    <row r="858" customFormat="false" ht="17.15" hidden="false" customHeight="false" outlineLevel="0" collapsed="false">
      <c r="A858" s="30" t="s">
        <v>968</v>
      </c>
      <c r="B858" s="29" t="s">
        <v>1296</v>
      </c>
      <c r="C858" s="30" t="s">
        <v>990</v>
      </c>
      <c r="D858" s="30" t="s">
        <v>617</v>
      </c>
      <c r="E858" s="33" t="n">
        <v>0</v>
      </c>
      <c r="F858" s="33" t="n">
        <v>10000000</v>
      </c>
      <c r="G858" s="33" t="n">
        <v>10000004</v>
      </c>
      <c r="H858" s="34" t="s">
        <v>454</v>
      </c>
    </row>
    <row r="859" customFormat="false" ht="17.15" hidden="false" customHeight="false" outlineLevel="0" collapsed="false">
      <c r="A859" s="21" t="s">
        <v>968</v>
      </c>
      <c r="B859" s="15" t="s">
        <v>1297</v>
      </c>
      <c r="C859" s="21" t="s">
        <v>1011</v>
      </c>
      <c r="D859" s="15" t="s">
        <v>1275</v>
      </c>
      <c r="E859" s="35" t="n">
        <v>4217810</v>
      </c>
      <c r="F859" s="35" t="n">
        <v>0</v>
      </c>
      <c r="G859" s="35" t="n">
        <v>4</v>
      </c>
      <c r="H859" s="36" t="s">
        <v>1013</v>
      </c>
    </row>
    <row r="860" customFormat="false" ht="17.15" hidden="false" customHeight="false" outlineLevel="0" collapsed="false">
      <c r="A860" s="21" t="s">
        <v>968</v>
      </c>
      <c r="B860" s="15" t="s">
        <v>1298</v>
      </c>
      <c r="C860" s="21" t="s">
        <v>970</v>
      </c>
      <c r="D860" s="15" t="s">
        <v>1299</v>
      </c>
      <c r="E860" s="35" t="n">
        <v>112440</v>
      </c>
      <c r="F860" s="35" t="n">
        <v>0</v>
      </c>
      <c r="G860" s="35" t="n">
        <v>4217814</v>
      </c>
      <c r="H860" s="36" t="s">
        <v>972</v>
      </c>
    </row>
    <row r="861" customFormat="false" ht="17.15" hidden="false" customHeight="false" outlineLevel="0" collapsed="false">
      <c r="A861" s="30" t="s">
        <v>968</v>
      </c>
      <c r="B861" s="29" t="s">
        <v>1300</v>
      </c>
      <c r="C861" s="30" t="s">
        <v>990</v>
      </c>
      <c r="D861" s="30" t="s">
        <v>1301</v>
      </c>
      <c r="E861" s="33" t="n">
        <v>7120000</v>
      </c>
      <c r="F861" s="33" t="n">
        <v>0</v>
      </c>
      <c r="G861" s="33" t="n">
        <v>4330254</v>
      </c>
      <c r="H861" s="34" t="s">
        <v>168</v>
      </c>
    </row>
    <row r="862" customFormat="false" ht="17.15" hidden="false" customHeight="false" outlineLevel="0" collapsed="false">
      <c r="A862" s="21" t="s">
        <v>968</v>
      </c>
      <c r="B862" s="15" t="s">
        <v>1300</v>
      </c>
      <c r="C862" s="21" t="s">
        <v>990</v>
      </c>
      <c r="D862" s="21" t="s">
        <v>1302</v>
      </c>
      <c r="E862" s="35" t="n">
        <v>59091</v>
      </c>
      <c r="F862" s="35" t="n">
        <v>0</v>
      </c>
      <c r="G862" s="35" t="n">
        <v>11450254</v>
      </c>
      <c r="H862" s="36" t="s">
        <v>494</v>
      </c>
    </row>
    <row r="863" customFormat="false" ht="17.15" hidden="false" customHeight="false" outlineLevel="0" collapsed="false">
      <c r="A863" s="21" t="s">
        <v>968</v>
      </c>
      <c r="B863" s="15" t="s">
        <v>1300</v>
      </c>
      <c r="C863" s="21" t="s">
        <v>990</v>
      </c>
      <c r="D863" s="21" t="s">
        <v>1303</v>
      </c>
      <c r="E863" s="35" t="n">
        <v>107727</v>
      </c>
      <c r="F863" s="35" t="n">
        <v>0</v>
      </c>
      <c r="G863" s="35" t="n">
        <v>11509345</v>
      </c>
      <c r="H863" s="36" t="s">
        <v>494</v>
      </c>
    </row>
    <row r="864" customFormat="false" ht="17.15" hidden="false" customHeight="false" outlineLevel="0" collapsed="false">
      <c r="A864" s="21" t="s">
        <v>968</v>
      </c>
      <c r="B864" s="15" t="s">
        <v>1304</v>
      </c>
      <c r="C864" s="21" t="s">
        <v>990</v>
      </c>
      <c r="D864" s="21" t="s">
        <v>1305</v>
      </c>
      <c r="E864" s="35" t="n">
        <v>180000</v>
      </c>
      <c r="F864" s="35" t="n">
        <v>0</v>
      </c>
      <c r="G864" s="35" t="n">
        <v>11617072</v>
      </c>
      <c r="H864" s="36" t="s">
        <v>149</v>
      </c>
    </row>
    <row r="865" customFormat="false" ht="17.15" hidden="false" customHeight="false" outlineLevel="0" collapsed="false">
      <c r="A865" s="21" t="s">
        <v>968</v>
      </c>
      <c r="B865" s="15" t="s">
        <v>1304</v>
      </c>
      <c r="C865" s="21" t="s">
        <v>990</v>
      </c>
      <c r="D865" s="21" t="s">
        <v>1306</v>
      </c>
      <c r="E865" s="35" t="n">
        <v>1995675</v>
      </c>
      <c r="F865" s="35" t="n">
        <v>0</v>
      </c>
      <c r="G865" s="35" t="n">
        <v>11797072</v>
      </c>
      <c r="H865" s="36" t="s">
        <v>141</v>
      </c>
    </row>
    <row r="866" customFormat="false" ht="17.15" hidden="false" customHeight="false" outlineLevel="0" collapsed="false">
      <c r="A866" s="21" t="s">
        <v>968</v>
      </c>
      <c r="B866" s="15" t="s">
        <v>1304</v>
      </c>
      <c r="C866" s="21" t="s">
        <v>990</v>
      </c>
      <c r="D866" s="21" t="s">
        <v>1307</v>
      </c>
      <c r="E866" s="35" t="n">
        <v>398904</v>
      </c>
      <c r="F866" s="35" t="n">
        <v>0</v>
      </c>
      <c r="G866" s="35" t="n">
        <v>13792747</v>
      </c>
      <c r="H866" s="36" t="s">
        <v>141</v>
      </c>
    </row>
    <row r="867" customFormat="false" ht="17.15" hidden="false" customHeight="false" outlineLevel="0" collapsed="false">
      <c r="A867" s="21" t="s">
        <v>968</v>
      </c>
      <c r="B867" s="15" t="s">
        <v>1304</v>
      </c>
      <c r="C867" s="21" t="s">
        <v>990</v>
      </c>
      <c r="D867" s="21" t="s">
        <v>1308</v>
      </c>
      <c r="E867" s="35" t="n">
        <v>96180</v>
      </c>
      <c r="F867" s="35" t="n">
        <v>0</v>
      </c>
      <c r="G867" s="35" t="n">
        <v>14191651</v>
      </c>
      <c r="H867" s="37" t="s">
        <v>176</v>
      </c>
    </row>
    <row r="868" customFormat="false" ht="15" hidden="false" customHeight="false" outlineLevel="0" collapsed="false">
      <c r="A868" s="21" t="s">
        <v>968</v>
      </c>
      <c r="B868" s="15" t="s">
        <v>1304</v>
      </c>
      <c r="C868" s="21" t="s">
        <v>990</v>
      </c>
      <c r="D868" s="21" t="s">
        <v>1309</v>
      </c>
      <c r="E868" s="35" t="n">
        <v>292140</v>
      </c>
      <c r="F868" s="35" t="n">
        <v>0</v>
      </c>
      <c r="G868" s="35" t="n">
        <v>14287831</v>
      </c>
      <c r="H868" s="36" t="s">
        <v>219</v>
      </c>
    </row>
    <row r="869" customFormat="false" ht="17.15" hidden="false" customHeight="false" outlineLevel="0" collapsed="false">
      <c r="A869" s="21" t="s">
        <v>968</v>
      </c>
      <c r="B869" s="15" t="s">
        <v>1304</v>
      </c>
      <c r="C869" s="21" t="s">
        <v>990</v>
      </c>
      <c r="D869" s="21" t="s">
        <v>1204</v>
      </c>
      <c r="E869" s="35" t="n">
        <v>693000</v>
      </c>
      <c r="F869" s="35" t="n">
        <v>0</v>
      </c>
      <c r="G869" s="35" t="n">
        <v>14579971</v>
      </c>
      <c r="H869" s="37" t="s">
        <v>176</v>
      </c>
    </row>
    <row r="870" customFormat="false" ht="17.15" hidden="false" customHeight="false" outlineLevel="0" collapsed="false">
      <c r="A870" s="21" t="s">
        <v>968</v>
      </c>
      <c r="B870" s="15" t="s">
        <v>1304</v>
      </c>
      <c r="C870" s="21" t="s">
        <v>990</v>
      </c>
      <c r="D870" s="21" t="s">
        <v>1256</v>
      </c>
      <c r="E870" s="35" t="n">
        <v>44000</v>
      </c>
      <c r="F870" s="35" t="n">
        <v>0</v>
      </c>
      <c r="G870" s="35" t="n">
        <v>15272971</v>
      </c>
      <c r="H870" s="37" t="s">
        <v>176</v>
      </c>
    </row>
    <row r="871" customFormat="false" ht="17.15" hidden="false" customHeight="false" outlineLevel="0" collapsed="false">
      <c r="A871" s="21" t="s">
        <v>968</v>
      </c>
      <c r="B871" s="15" t="s">
        <v>1304</v>
      </c>
      <c r="C871" s="21" t="s">
        <v>990</v>
      </c>
      <c r="D871" s="21" t="s">
        <v>1310</v>
      </c>
      <c r="E871" s="35" t="n">
        <v>797500</v>
      </c>
      <c r="F871" s="35" t="n">
        <v>0</v>
      </c>
      <c r="G871" s="35" t="n">
        <v>15316971</v>
      </c>
      <c r="H871" s="37" t="s">
        <v>176</v>
      </c>
    </row>
    <row r="872" customFormat="false" ht="17.15" hidden="false" customHeight="false" outlineLevel="0" collapsed="false">
      <c r="A872" s="21" t="s">
        <v>968</v>
      </c>
      <c r="B872" s="15" t="s">
        <v>1304</v>
      </c>
      <c r="C872" s="21" t="s">
        <v>990</v>
      </c>
      <c r="D872" s="21" t="s">
        <v>1311</v>
      </c>
      <c r="E872" s="35" t="n">
        <v>1273800</v>
      </c>
      <c r="F872" s="35" t="n">
        <v>0</v>
      </c>
      <c r="G872" s="35" t="n">
        <v>16114471</v>
      </c>
      <c r="H872" s="37" t="s">
        <v>176</v>
      </c>
    </row>
    <row r="873" customFormat="false" ht="17.15" hidden="false" customHeight="false" outlineLevel="0" collapsed="false">
      <c r="A873" s="30" t="s">
        <v>968</v>
      </c>
      <c r="B873" s="29" t="s">
        <v>1312</v>
      </c>
      <c r="C873" s="30" t="s">
        <v>990</v>
      </c>
      <c r="D873" s="29" t="s">
        <v>991</v>
      </c>
      <c r="E873" s="33" t="n">
        <v>0</v>
      </c>
      <c r="F873" s="33" t="n">
        <v>10000000</v>
      </c>
      <c r="G873" s="33" t="n">
        <v>17388271</v>
      </c>
      <c r="H873" s="34" t="s">
        <v>992</v>
      </c>
    </row>
    <row r="874" customFormat="false" ht="17.15" hidden="false" customHeight="false" outlineLevel="0" collapsed="false">
      <c r="A874" s="21" t="s">
        <v>968</v>
      </c>
      <c r="B874" s="15" t="s">
        <v>1313</v>
      </c>
      <c r="C874" s="21" t="s">
        <v>974</v>
      </c>
      <c r="D874" s="21" t="s">
        <v>1089</v>
      </c>
      <c r="E874" s="35" t="n">
        <v>33000</v>
      </c>
      <c r="F874" s="35" t="n">
        <v>0</v>
      </c>
      <c r="G874" s="35" t="n">
        <v>7388271</v>
      </c>
      <c r="H874" s="37" t="s">
        <v>176</v>
      </c>
    </row>
    <row r="875" customFormat="false" ht="17.15" hidden="false" customHeight="false" outlineLevel="0" collapsed="false">
      <c r="A875" s="21" t="s">
        <v>968</v>
      </c>
      <c r="B875" s="15" t="s">
        <v>1313</v>
      </c>
      <c r="C875" s="21" t="s">
        <v>974</v>
      </c>
      <c r="D875" s="21" t="s">
        <v>1090</v>
      </c>
      <c r="E875" s="35" t="n">
        <v>264000</v>
      </c>
      <c r="F875" s="35" t="n">
        <v>0</v>
      </c>
      <c r="G875" s="35" t="n">
        <v>7421271</v>
      </c>
      <c r="H875" s="37" t="s">
        <v>176</v>
      </c>
    </row>
    <row r="876" customFormat="false" ht="17.15" hidden="false" customHeight="false" outlineLevel="0" collapsed="false">
      <c r="A876" s="21" t="s">
        <v>968</v>
      </c>
      <c r="B876" s="15" t="s">
        <v>1313</v>
      </c>
      <c r="C876" s="21" t="s">
        <v>974</v>
      </c>
      <c r="D876" s="21" t="s">
        <v>1091</v>
      </c>
      <c r="E876" s="35" t="n">
        <v>110000</v>
      </c>
      <c r="F876" s="35" t="n">
        <v>0</v>
      </c>
      <c r="G876" s="35" t="n">
        <v>7685271</v>
      </c>
      <c r="H876" s="37" t="s">
        <v>176</v>
      </c>
    </row>
    <row r="877" customFormat="false" ht="17.15" hidden="false" customHeight="false" outlineLevel="0" collapsed="false">
      <c r="A877" s="21" t="s">
        <v>968</v>
      </c>
      <c r="B877" s="15" t="s">
        <v>1313</v>
      </c>
      <c r="C877" s="21" t="s">
        <v>974</v>
      </c>
      <c r="D877" s="21" t="s">
        <v>1092</v>
      </c>
      <c r="E877" s="35" t="n">
        <v>110000</v>
      </c>
      <c r="F877" s="35" t="n">
        <v>0</v>
      </c>
      <c r="G877" s="35" t="n">
        <v>7795271</v>
      </c>
      <c r="H877" s="37" t="s">
        <v>176</v>
      </c>
    </row>
    <row r="878" customFormat="false" ht="15" hidden="false" customHeight="false" outlineLevel="0" collapsed="false">
      <c r="A878" s="21" t="s">
        <v>968</v>
      </c>
      <c r="B878" s="15" t="s">
        <v>1314</v>
      </c>
      <c r="C878" s="21" t="s">
        <v>980</v>
      </c>
      <c r="D878" s="15" t="s">
        <v>981</v>
      </c>
      <c r="E878" s="35" t="n">
        <v>5137890</v>
      </c>
      <c r="F878" s="35" t="n">
        <v>0</v>
      </c>
      <c r="G878" s="35" t="n">
        <v>7905271</v>
      </c>
      <c r="H878" s="36" t="s">
        <v>198</v>
      </c>
    </row>
    <row r="879" customFormat="false" ht="15" hidden="false" customHeight="false" outlineLevel="0" collapsed="false">
      <c r="A879" s="21" t="s">
        <v>968</v>
      </c>
      <c r="B879" s="15" t="s">
        <v>1314</v>
      </c>
      <c r="C879" s="21" t="s">
        <v>980</v>
      </c>
      <c r="D879" s="15" t="s">
        <v>982</v>
      </c>
      <c r="E879" s="35" t="n">
        <v>281129</v>
      </c>
      <c r="F879" s="35" t="n">
        <v>0</v>
      </c>
      <c r="G879" s="35" t="n">
        <v>13043161</v>
      </c>
      <c r="H879" s="36" t="s">
        <v>198</v>
      </c>
    </row>
    <row r="880" customFormat="false" ht="15" hidden="false" customHeight="false" outlineLevel="0" collapsed="false">
      <c r="A880" s="21" t="s">
        <v>968</v>
      </c>
      <c r="B880" s="15" t="s">
        <v>1314</v>
      </c>
      <c r="C880" s="21" t="s">
        <v>980</v>
      </c>
      <c r="D880" s="15" t="s">
        <v>984</v>
      </c>
      <c r="E880" s="35" t="n">
        <v>866367</v>
      </c>
      <c r="F880" s="35" t="n">
        <v>0</v>
      </c>
      <c r="G880" s="35" t="n">
        <v>13324290</v>
      </c>
      <c r="H880" s="36" t="s">
        <v>198</v>
      </c>
    </row>
    <row r="881" customFormat="false" ht="15" hidden="false" customHeight="false" outlineLevel="0" collapsed="false">
      <c r="A881" s="21" t="s">
        <v>968</v>
      </c>
      <c r="B881" s="15" t="s">
        <v>1314</v>
      </c>
      <c r="C881" s="21" t="s">
        <v>980</v>
      </c>
      <c r="D881" s="15" t="s">
        <v>983</v>
      </c>
      <c r="E881" s="35" t="n">
        <v>187419</v>
      </c>
      <c r="F881" s="35" t="n">
        <v>0</v>
      </c>
      <c r="G881" s="35" t="n">
        <v>14190657</v>
      </c>
      <c r="H881" s="36" t="s">
        <v>198</v>
      </c>
    </row>
    <row r="882" customFormat="false" ht="15" hidden="false" customHeight="false" outlineLevel="0" collapsed="false">
      <c r="A882" s="21" t="s">
        <v>968</v>
      </c>
      <c r="B882" s="15" t="s">
        <v>1314</v>
      </c>
      <c r="C882" s="21" t="s">
        <v>980</v>
      </c>
      <c r="D882" s="15" t="s">
        <v>985</v>
      </c>
      <c r="E882" s="35" t="n">
        <v>735616</v>
      </c>
      <c r="F882" s="35" t="n">
        <v>0</v>
      </c>
      <c r="G882" s="35" t="n">
        <v>14378076</v>
      </c>
      <c r="H882" s="36" t="s">
        <v>198</v>
      </c>
    </row>
    <row r="883" customFormat="false" ht="17.15" hidden="false" customHeight="false" outlineLevel="0" collapsed="false">
      <c r="A883" s="21" t="s">
        <v>968</v>
      </c>
      <c r="B883" s="15" t="s">
        <v>1315</v>
      </c>
      <c r="C883" s="15" t="s">
        <v>1104</v>
      </c>
      <c r="D883" s="21" t="s">
        <v>1316</v>
      </c>
      <c r="E883" s="35" t="n">
        <v>233760</v>
      </c>
      <c r="F883" s="35" t="n">
        <v>0</v>
      </c>
      <c r="G883" s="35" t="n">
        <v>15113692</v>
      </c>
      <c r="H883" s="37" t="s">
        <v>176</v>
      </c>
    </row>
    <row r="884" customFormat="false" ht="17.15" hidden="false" customHeight="false" outlineLevel="0" collapsed="false">
      <c r="A884" s="21" t="s">
        <v>968</v>
      </c>
      <c r="B884" s="15" t="s">
        <v>1317</v>
      </c>
      <c r="C884" s="15" t="s">
        <v>170</v>
      </c>
      <c r="D884" s="21" t="s">
        <v>988</v>
      </c>
      <c r="E884" s="35" t="n">
        <v>44000</v>
      </c>
      <c r="F884" s="35" t="n">
        <v>0</v>
      </c>
      <c r="G884" s="35" t="n">
        <v>15347452</v>
      </c>
      <c r="H884" s="36" t="s">
        <v>494</v>
      </c>
    </row>
    <row r="885" customFormat="false" ht="17.15" hidden="false" customHeight="false" outlineLevel="0" collapsed="false">
      <c r="A885" s="30" t="s">
        <v>968</v>
      </c>
      <c r="B885" s="29" t="s">
        <v>1318</v>
      </c>
      <c r="C885" s="30" t="s">
        <v>88</v>
      </c>
      <c r="D885" s="30" t="s">
        <v>89</v>
      </c>
      <c r="E885" s="33" t="n">
        <v>0</v>
      </c>
      <c r="F885" s="33" t="n">
        <v>3630</v>
      </c>
      <c r="G885" s="33" t="n">
        <v>15391452</v>
      </c>
      <c r="H885" s="34" t="s">
        <v>443</v>
      </c>
    </row>
    <row r="886" customFormat="false" ht="17.15" hidden="false" customHeight="false" outlineLevel="0" collapsed="false">
      <c r="A886" s="30" t="s">
        <v>968</v>
      </c>
      <c r="B886" s="29" t="s">
        <v>1319</v>
      </c>
      <c r="C886" s="30" t="s">
        <v>990</v>
      </c>
      <c r="D886" s="30" t="s">
        <v>617</v>
      </c>
      <c r="E886" s="33" t="n">
        <v>0</v>
      </c>
      <c r="F886" s="33" t="n">
        <v>10000000</v>
      </c>
      <c r="G886" s="33" t="n">
        <v>15387822</v>
      </c>
      <c r="H886" s="34" t="s">
        <v>454</v>
      </c>
    </row>
    <row r="887" customFormat="false" ht="17.15" hidden="false" customHeight="false" outlineLevel="0" collapsed="false">
      <c r="A887" s="21" t="s">
        <v>968</v>
      </c>
      <c r="B887" s="15" t="s">
        <v>1320</v>
      </c>
      <c r="C887" s="15" t="s">
        <v>1062</v>
      </c>
      <c r="D887" s="21" t="s">
        <v>995</v>
      </c>
      <c r="E887" s="35" t="n">
        <v>6978033</v>
      </c>
      <c r="F887" s="35" t="n">
        <v>0</v>
      </c>
      <c r="G887" s="35" t="n">
        <v>5387822</v>
      </c>
      <c r="H887" s="36" t="s">
        <v>184</v>
      </c>
    </row>
    <row r="888" customFormat="false" ht="17.15" hidden="false" customHeight="false" outlineLevel="0" collapsed="false">
      <c r="A888" s="21" t="s">
        <v>968</v>
      </c>
      <c r="B888" s="15" t="s">
        <v>1321</v>
      </c>
      <c r="C888" s="21" t="s">
        <v>990</v>
      </c>
      <c r="D888" s="15" t="s">
        <v>1128</v>
      </c>
      <c r="E888" s="35" t="n">
        <v>4273430</v>
      </c>
      <c r="F888" s="35" t="n">
        <v>0</v>
      </c>
      <c r="G888" s="35" t="n">
        <v>12365855</v>
      </c>
      <c r="H888" s="36" t="s">
        <v>224</v>
      </c>
    </row>
    <row r="889" customFormat="false" ht="17.15" hidden="false" customHeight="false" outlineLevel="0" collapsed="false">
      <c r="A889" s="30" t="s">
        <v>968</v>
      </c>
      <c r="B889" s="29" t="s">
        <v>1322</v>
      </c>
      <c r="C889" s="30" t="s">
        <v>990</v>
      </c>
      <c r="D889" s="29" t="s">
        <v>991</v>
      </c>
      <c r="E889" s="33" t="n">
        <v>0</v>
      </c>
      <c r="F889" s="33" t="n">
        <v>10000000</v>
      </c>
      <c r="G889" s="33" t="n">
        <v>16639285</v>
      </c>
      <c r="H889" s="34" t="s">
        <v>992</v>
      </c>
    </row>
    <row r="890" customFormat="false" ht="17.15" hidden="false" customHeight="false" outlineLevel="0" collapsed="false">
      <c r="A890" s="38" t="s">
        <v>968</v>
      </c>
      <c r="B890" s="39" t="s">
        <v>1323</v>
      </c>
      <c r="C890" s="38" t="s">
        <v>250</v>
      </c>
      <c r="D890" s="39" t="s">
        <v>1324</v>
      </c>
      <c r="E890" s="40" t="n">
        <v>3000000</v>
      </c>
      <c r="F890" s="40" t="n">
        <v>0</v>
      </c>
      <c r="G890" s="40" t="n">
        <v>6639285</v>
      </c>
      <c r="H890" s="41" t="s">
        <v>1113</v>
      </c>
    </row>
    <row r="891" customFormat="false" ht="17.15" hidden="false" customHeight="false" outlineLevel="0" collapsed="false">
      <c r="A891" s="21" t="s">
        <v>968</v>
      </c>
      <c r="B891" s="15" t="s">
        <v>1325</v>
      </c>
      <c r="C891" s="21" t="s">
        <v>1001</v>
      </c>
      <c r="D891" s="15" t="s">
        <v>1326</v>
      </c>
      <c r="E891" s="35" t="n">
        <v>3138940</v>
      </c>
      <c r="F891" s="35" t="n">
        <v>0</v>
      </c>
      <c r="G891" s="35" t="n">
        <v>9639285</v>
      </c>
      <c r="H891" s="36" t="s">
        <v>1003</v>
      </c>
    </row>
    <row r="892" customFormat="false" ht="17.15" hidden="false" customHeight="false" outlineLevel="0" collapsed="false">
      <c r="A892" s="21" t="s">
        <v>968</v>
      </c>
      <c r="B892" s="15" t="s">
        <v>1327</v>
      </c>
      <c r="C892" s="21" t="s">
        <v>1001</v>
      </c>
      <c r="D892" s="15" t="s">
        <v>1328</v>
      </c>
      <c r="E892" s="35" t="n">
        <v>2376400</v>
      </c>
      <c r="F892" s="35" t="n">
        <v>0</v>
      </c>
      <c r="G892" s="35" t="n">
        <v>12778225</v>
      </c>
      <c r="H892" s="36" t="s">
        <v>1003</v>
      </c>
    </row>
    <row r="893" customFormat="false" ht="17.15" hidden="false" customHeight="false" outlineLevel="0" collapsed="false">
      <c r="A893" s="21" t="s">
        <v>968</v>
      </c>
      <c r="B893" s="15" t="s">
        <v>1327</v>
      </c>
      <c r="C893" s="21" t="s">
        <v>1001</v>
      </c>
      <c r="D893" s="15" t="s">
        <v>1329</v>
      </c>
      <c r="E893" s="35" t="n">
        <v>408090</v>
      </c>
      <c r="F893" s="35" t="n">
        <v>0</v>
      </c>
      <c r="G893" s="35" t="n">
        <v>15154625</v>
      </c>
      <c r="H893" s="36" t="s">
        <v>1003</v>
      </c>
    </row>
    <row r="894" customFormat="false" ht="17.15" hidden="false" customHeight="false" outlineLevel="0" collapsed="false">
      <c r="A894" s="21" t="s">
        <v>968</v>
      </c>
      <c r="B894" s="15" t="s">
        <v>1327</v>
      </c>
      <c r="C894" s="21" t="s">
        <v>1001</v>
      </c>
      <c r="D894" s="15" t="s">
        <v>1330</v>
      </c>
      <c r="E894" s="35" t="n">
        <v>335000</v>
      </c>
      <c r="F894" s="35" t="n">
        <v>0</v>
      </c>
      <c r="G894" s="35" t="n">
        <v>15562715</v>
      </c>
      <c r="H894" s="36" t="s">
        <v>1003</v>
      </c>
    </row>
    <row r="895" customFormat="false" ht="17.15" hidden="false" customHeight="false" outlineLevel="0" collapsed="false">
      <c r="A895" s="21" t="s">
        <v>968</v>
      </c>
      <c r="B895" s="15" t="s">
        <v>1331</v>
      </c>
      <c r="C895" s="21" t="s">
        <v>990</v>
      </c>
      <c r="D895" s="15" t="s">
        <v>1123</v>
      </c>
      <c r="E895" s="35" t="n">
        <v>1907990</v>
      </c>
      <c r="F895" s="35" t="n">
        <v>0</v>
      </c>
      <c r="G895" s="35" t="n">
        <v>15897715</v>
      </c>
      <c r="H895" s="36" t="s">
        <v>224</v>
      </c>
    </row>
    <row r="896" customFormat="false" ht="17.15" hidden="false" customHeight="false" outlineLevel="0" collapsed="false">
      <c r="A896" s="21" t="s">
        <v>968</v>
      </c>
      <c r="B896" s="15" t="s">
        <v>1331</v>
      </c>
      <c r="C896" s="21" t="s">
        <v>990</v>
      </c>
      <c r="D896" s="15" t="s">
        <v>1124</v>
      </c>
      <c r="E896" s="35" t="n">
        <v>1907990</v>
      </c>
      <c r="F896" s="35" t="n">
        <v>0</v>
      </c>
      <c r="G896" s="35" t="n">
        <v>17805705</v>
      </c>
      <c r="H896" s="36" t="s">
        <v>224</v>
      </c>
    </row>
    <row r="897" customFormat="false" ht="17.15" hidden="false" customHeight="false" outlineLevel="0" collapsed="false">
      <c r="A897" s="21" t="s">
        <v>968</v>
      </c>
      <c r="B897" s="15" t="s">
        <v>1331</v>
      </c>
      <c r="C897" s="21" t="s">
        <v>990</v>
      </c>
      <c r="D897" s="21" t="s">
        <v>1125</v>
      </c>
      <c r="E897" s="35" t="n">
        <v>1907990</v>
      </c>
      <c r="F897" s="35" t="n">
        <v>0</v>
      </c>
      <c r="G897" s="35" t="n">
        <v>19713695</v>
      </c>
      <c r="H897" s="36" t="s">
        <v>224</v>
      </c>
    </row>
    <row r="898" customFormat="false" ht="17.15" hidden="false" customHeight="false" outlineLevel="0" collapsed="false">
      <c r="A898" s="21" t="s">
        <v>968</v>
      </c>
      <c r="B898" s="15" t="s">
        <v>1331</v>
      </c>
      <c r="C898" s="21" t="s">
        <v>990</v>
      </c>
      <c r="D898" s="21" t="s">
        <v>1126</v>
      </c>
      <c r="E898" s="35" t="n">
        <v>1948520</v>
      </c>
      <c r="F898" s="35" t="n">
        <v>0</v>
      </c>
      <c r="G898" s="35" t="n">
        <v>21621685</v>
      </c>
      <c r="H898" s="36" t="s">
        <v>224</v>
      </c>
    </row>
    <row r="899" customFormat="false" ht="17.15" hidden="false" customHeight="false" outlineLevel="0" collapsed="false">
      <c r="A899" s="21" t="s">
        <v>968</v>
      </c>
      <c r="B899" s="15" t="s">
        <v>1331</v>
      </c>
      <c r="C899" s="21" t="s">
        <v>990</v>
      </c>
      <c r="D899" s="21" t="s">
        <v>1127</v>
      </c>
      <c r="E899" s="35" t="n">
        <v>2197790</v>
      </c>
      <c r="F899" s="35" t="n">
        <v>0</v>
      </c>
      <c r="G899" s="35" t="n">
        <v>23570205</v>
      </c>
      <c r="H899" s="36" t="s">
        <v>224</v>
      </c>
    </row>
    <row r="900" customFormat="false" ht="17.15" hidden="false" customHeight="false" outlineLevel="0" collapsed="false">
      <c r="A900" s="21" t="s">
        <v>968</v>
      </c>
      <c r="B900" s="15" t="s">
        <v>1331</v>
      </c>
      <c r="C900" s="21" t="s">
        <v>990</v>
      </c>
      <c r="D900" s="21" t="s">
        <v>1129</v>
      </c>
      <c r="E900" s="35" t="n">
        <v>3221490</v>
      </c>
      <c r="F900" s="35" t="n">
        <v>0</v>
      </c>
      <c r="G900" s="35" t="n">
        <v>25767995</v>
      </c>
      <c r="H900" s="36" t="s">
        <v>224</v>
      </c>
    </row>
    <row r="901" customFormat="false" ht="17.15" hidden="false" customHeight="false" outlineLevel="0" collapsed="false">
      <c r="A901" s="21" t="s">
        <v>968</v>
      </c>
      <c r="B901" s="15" t="s">
        <v>1331</v>
      </c>
      <c r="C901" s="21" t="s">
        <v>990</v>
      </c>
      <c r="D901" s="21" t="s">
        <v>1130</v>
      </c>
      <c r="E901" s="35" t="n">
        <v>3656610</v>
      </c>
      <c r="F901" s="35" t="n">
        <v>0</v>
      </c>
      <c r="G901" s="35" t="n">
        <v>28989485</v>
      </c>
      <c r="H901" s="36" t="s">
        <v>224</v>
      </c>
    </row>
    <row r="902" customFormat="false" ht="17.15" hidden="false" customHeight="false" outlineLevel="0" collapsed="false">
      <c r="A902" s="21" t="s">
        <v>968</v>
      </c>
      <c r="B902" s="15" t="s">
        <v>1331</v>
      </c>
      <c r="C902" s="21" t="s">
        <v>990</v>
      </c>
      <c r="D902" s="21" t="s">
        <v>1131</v>
      </c>
      <c r="E902" s="35" t="n">
        <v>3220190</v>
      </c>
      <c r="F902" s="35" t="n">
        <v>0</v>
      </c>
      <c r="G902" s="35" t="n">
        <v>32646095</v>
      </c>
      <c r="H902" s="36" t="s">
        <v>224</v>
      </c>
    </row>
    <row r="903" customFormat="false" ht="17.15" hidden="false" customHeight="false" outlineLevel="0" collapsed="false">
      <c r="A903" s="21" t="s">
        <v>968</v>
      </c>
      <c r="B903" s="15" t="s">
        <v>1331</v>
      </c>
      <c r="C903" s="21" t="s">
        <v>990</v>
      </c>
      <c r="D903" s="21" t="s">
        <v>1132</v>
      </c>
      <c r="E903" s="35" t="n">
        <v>2959470</v>
      </c>
      <c r="F903" s="35" t="n">
        <v>0</v>
      </c>
      <c r="G903" s="35" t="n">
        <v>35866285</v>
      </c>
      <c r="H903" s="36" t="s">
        <v>224</v>
      </c>
    </row>
    <row r="904" customFormat="false" ht="17.15" hidden="false" customHeight="false" outlineLevel="0" collapsed="false">
      <c r="A904" s="30" t="s">
        <v>968</v>
      </c>
      <c r="B904" s="29" t="s">
        <v>1332</v>
      </c>
      <c r="C904" s="30" t="s">
        <v>990</v>
      </c>
      <c r="D904" s="30" t="s">
        <v>617</v>
      </c>
      <c r="E904" s="33" t="n">
        <v>0</v>
      </c>
      <c r="F904" s="33" t="n">
        <v>35000000</v>
      </c>
      <c r="G904" s="33" t="n">
        <v>38825755</v>
      </c>
      <c r="H904" s="34" t="s">
        <v>454</v>
      </c>
    </row>
    <row r="905" customFormat="false" ht="17.15" hidden="false" customHeight="false" outlineLevel="0" collapsed="false">
      <c r="A905" s="21" t="s">
        <v>968</v>
      </c>
      <c r="B905" s="15" t="s">
        <v>1333</v>
      </c>
      <c r="C905" s="21" t="s">
        <v>990</v>
      </c>
      <c r="D905" s="21" t="s">
        <v>1334</v>
      </c>
      <c r="E905" s="35" t="n">
        <v>699600</v>
      </c>
      <c r="F905" s="35" t="n">
        <v>0</v>
      </c>
      <c r="G905" s="35" t="n">
        <v>3825755</v>
      </c>
      <c r="H905" s="37" t="s">
        <v>176</v>
      </c>
    </row>
    <row r="906" customFormat="false" ht="17.15" hidden="false" customHeight="false" outlineLevel="0" collapsed="false">
      <c r="A906" s="21" t="s">
        <v>968</v>
      </c>
      <c r="B906" s="15" t="s">
        <v>1335</v>
      </c>
      <c r="C906" s="15" t="s">
        <v>1062</v>
      </c>
      <c r="D906" s="21" t="s">
        <v>1009</v>
      </c>
      <c r="E906" s="35" t="n">
        <v>165000</v>
      </c>
      <c r="F906" s="35" t="n">
        <v>0</v>
      </c>
      <c r="G906" s="35" t="n">
        <v>4525355</v>
      </c>
      <c r="H906" s="36" t="s">
        <v>492</v>
      </c>
    </row>
    <row r="907" customFormat="false" ht="17.15" hidden="false" customHeight="false" outlineLevel="0" collapsed="false">
      <c r="A907" s="21" t="s">
        <v>968</v>
      </c>
      <c r="B907" s="15" t="s">
        <v>1336</v>
      </c>
      <c r="C907" s="21" t="s">
        <v>1011</v>
      </c>
      <c r="D907" s="15" t="s">
        <v>1337</v>
      </c>
      <c r="E907" s="35" t="n">
        <v>5019090</v>
      </c>
      <c r="F907" s="35" t="n">
        <v>0</v>
      </c>
      <c r="G907" s="35" t="n">
        <v>4690355</v>
      </c>
      <c r="H907" s="36" t="s">
        <v>1013</v>
      </c>
    </row>
    <row r="908" customFormat="false" ht="17.15" hidden="false" customHeight="false" outlineLevel="0" collapsed="false">
      <c r="A908" s="30" t="s">
        <v>968</v>
      </c>
      <c r="B908" s="29" t="s">
        <v>1338</v>
      </c>
      <c r="C908" s="30" t="s">
        <v>990</v>
      </c>
      <c r="D908" s="30" t="s">
        <v>1339</v>
      </c>
      <c r="E908" s="33" t="n">
        <v>0</v>
      </c>
      <c r="F908" s="33" t="n">
        <v>3000000</v>
      </c>
      <c r="G908" s="33" t="n">
        <v>9709445</v>
      </c>
      <c r="H908" s="34" t="s">
        <v>1340</v>
      </c>
    </row>
    <row r="909" customFormat="false" ht="17.15" hidden="false" customHeight="false" outlineLevel="0" collapsed="false">
      <c r="A909" s="30" t="s">
        <v>968</v>
      </c>
      <c r="B909" s="29" t="s">
        <v>1341</v>
      </c>
      <c r="C909" s="30" t="s">
        <v>990</v>
      </c>
      <c r="D909" s="30" t="s">
        <v>1301</v>
      </c>
      <c r="E909" s="33" t="n">
        <v>10689000</v>
      </c>
      <c r="F909" s="33" t="n">
        <v>0</v>
      </c>
      <c r="G909" s="33" t="n">
        <v>6709445</v>
      </c>
      <c r="H909" s="34" t="s">
        <v>168</v>
      </c>
    </row>
    <row r="910" customFormat="false" ht="17.15" hidden="false" customHeight="false" outlineLevel="0" collapsed="false">
      <c r="A910" s="21" t="s">
        <v>968</v>
      </c>
      <c r="B910" s="15" t="s">
        <v>1342</v>
      </c>
      <c r="C910" s="21" t="s">
        <v>970</v>
      </c>
      <c r="D910" s="15" t="s">
        <v>1343</v>
      </c>
      <c r="E910" s="35" t="n">
        <v>114200</v>
      </c>
      <c r="F910" s="35" t="n">
        <v>0</v>
      </c>
      <c r="G910" s="35" t="n">
        <v>17398445</v>
      </c>
      <c r="H910" s="36" t="s">
        <v>972</v>
      </c>
    </row>
    <row r="911" customFormat="false" ht="17.15" hidden="false" customHeight="false" outlineLevel="0" collapsed="false">
      <c r="A911" s="21" t="s">
        <v>968</v>
      </c>
      <c r="B911" s="15" t="s">
        <v>1344</v>
      </c>
      <c r="C911" s="21" t="s">
        <v>990</v>
      </c>
      <c r="D911" s="21" t="s">
        <v>1251</v>
      </c>
      <c r="E911" s="35" t="n">
        <v>270000</v>
      </c>
      <c r="F911" s="35" t="n">
        <v>0</v>
      </c>
      <c r="G911" s="35" t="n">
        <v>17512645</v>
      </c>
      <c r="H911" s="37" t="s">
        <v>176</v>
      </c>
    </row>
    <row r="912" customFormat="false" ht="17.15" hidden="false" customHeight="false" outlineLevel="0" collapsed="false">
      <c r="A912" s="21" t="s">
        <v>968</v>
      </c>
      <c r="B912" s="15" t="s">
        <v>1344</v>
      </c>
      <c r="C912" s="21" t="s">
        <v>990</v>
      </c>
      <c r="D912" s="21" t="s">
        <v>1345</v>
      </c>
      <c r="E912" s="35" t="n">
        <v>870100</v>
      </c>
      <c r="F912" s="35" t="n">
        <v>0</v>
      </c>
      <c r="G912" s="35" t="n">
        <v>17782645</v>
      </c>
      <c r="H912" s="37" t="s">
        <v>176</v>
      </c>
    </row>
    <row r="913" customFormat="false" ht="17.15" hidden="false" customHeight="false" outlineLevel="0" collapsed="false">
      <c r="A913" s="21" t="s">
        <v>968</v>
      </c>
      <c r="B913" s="15" t="s">
        <v>1344</v>
      </c>
      <c r="C913" s="21" t="s">
        <v>990</v>
      </c>
      <c r="D913" s="21" t="s">
        <v>1346</v>
      </c>
      <c r="E913" s="35" t="n">
        <v>623315</v>
      </c>
      <c r="F913" s="35" t="n">
        <v>0</v>
      </c>
      <c r="G913" s="35" t="n">
        <v>18652745</v>
      </c>
      <c r="H913" s="36" t="s">
        <v>141</v>
      </c>
    </row>
    <row r="914" customFormat="false" ht="17.15" hidden="false" customHeight="false" outlineLevel="0" collapsed="false">
      <c r="A914" s="21" t="s">
        <v>968</v>
      </c>
      <c r="B914" s="15" t="s">
        <v>1344</v>
      </c>
      <c r="C914" s="21" t="s">
        <v>990</v>
      </c>
      <c r="D914" s="21" t="s">
        <v>1347</v>
      </c>
      <c r="E914" s="35" t="n">
        <v>198000</v>
      </c>
      <c r="F914" s="35" t="n">
        <v>0</v>
      </c>
      <c r="G914" s="35" t="n">
        <v>19276060</v>
      </c>
      <c r="H914" s="37" t="s">
        <v>176</v>
      </c>
    </row>
    <row r="915" customFormat="false" ht="17.15" hidden="false" customHeight="false" outlineLevel="0" collapsed="false">
      <c r="A915" s="21" t="s">
        <v>968</v>
      </c>
      <c r="B915" s="15" t="s">
        <v>1344</v>
      </c>
      <c r="C915" s="21" t="s">
        <v>990</v>
      </c>
      <c r="D915" s="21" t="s">
        <v>1348</v>
      </c>
      <c r="E915" s="35" t="n">
        <v>275000</v>
      </c>
      <c r="F915" s="35" t="n">
        <v>0</v>
      </c>
      <c r="G915" s="35" t="n">
        <v>19474060</v>
      </c>
      <c r="H915" s="36" t="s">
        <v>141</v>
      </c>
    </row>
    <row r="916" customFormat="false" ht="17.15" hidden="false" customHeight="false" outlineLevel="0" collapsed="false">
      <c r="A916" s="21" t="s">
        <v>968</v>
      </c>
      <c r="B916" s="15" t="s">
        <v>1344</v>
      </c>
      <c r="C916" s="21" t="s">
        <v>990</v>
      </c>
      <c r="D916" s="21" t="s">
        <v>1349</v>
      </c>
      <c r="E916" s="35" t="n">
        <v>24040</v>
      </c>
      <c r="F916" s="35" t="n">
        <v>0</v>
      </c>
      <c r="G916" s="35" t="n">
        <v>19749060</v>
      </c>
      <c r="H916" s="36" t="s">
        <v>1350</v>
      </c>
    </row>
    <row r="917" customFormat="false" ht="17.15" hidden="false" customHeight="false" outlineLevel="0" collapsed="false">
      <c r="A917" s="21" t="s">
        <v>968</v>
      </c>
      <c r="B917" s="15" t="s">
        <v>1344</v>
      </c>
      <c r="C917" s="21" t="s">
        <v>990</v>
      </c>
      <c r="D917" s="21" t="s">
        <v>1351</v>
      </c>
      <c r="E917" s="35" t="n">
        <v>539000</v>
      </c>
      <c r="F917" s="35" t="n">
        <v>0</v>
      </c>
      <c r="G917" s="35" t="n">
        <v>19773100</v>
      </c>
      <c r="H917" s="36" t="s">
        <v>149</v>
      </c>
    </row>
    <row r="918" customFormat="false" ht="17.15" hidden="false" customHeight="false" outlineLevel="0" collapsed="false">
      <c r="A918" s="21" t="s">
        <v>968</v>
      </c>
      <c r="B918" s="15" t="s">
        <v>1344</v>
      </c>
      <c r="C918" s="21" t="s">
        <v>990</v>
      </c>
      <c r="D918" s="21" t="s">
        <v>1352</v>
      </c>
      <c r="E918" s="35" t="n">
        <v>1075800</v>
      </c>
      <c r="F918" s="35" t="n">
        <v>0</v>
      </c>
      <c r="G918" s="35" t="n">
        <v>20312100</v>
      </c>
      <c r="H918" s="37" t="s">
        <v>176</v>
      </c>
    </row>
    <row r="919" customFormat="false" ht="17.15" hidden="false" customHeight="false" outlineLevel="0" collapsed="false">
      <c r="A919" s="21" t="s">
        <v>968</v>
      </c>
      <c r="B919" s="15" t="s">
        <v>1353</v>
      </c>
      <c r="C919" s="21" t="s">
        <v>974</v>
      </c>
      <c r="D919" s="21" t="s">
        <v>1089</v>
      </c>
      <c r="E919" s="35" t="n">
        <v>33000</v>
      </c>
      <c r="F919" s="35" t="n">
        <v>0</v>
      </c>
      <c r="G919" s="35" t="n">
        <v>21387900</v>
      </c>
      <c r="H919" s="37" t="s">
        <v>176</v>
      </c>
    </row>
    <row r="920" customFormat="false" ht="17.15" hidden="false" customHeight="false" outlineLevel="0" collapsed="false">
      <c r="A920" s="21" t="s">
        <v>968</v>
      </c>
      <c r="B920" s="15" t="s">
        <v>1353</v>
      </c>
      <c r="C920" s="21" t="s">
        <v>974</v>
      </c>
      <c r="D920" s="21" t="s">
        <v>1090</v>
      </c>
      <c r="E920" s="35" t="n">
        <v>264000</v>
      </c>
      <c r="F920" s="35" t="n">
        <v>0</v>
      </c>
      <c r="G920" s="35" t="n">
        <v>21420900</v>
      </c>
      <c r="H920" s="37" t="s">
        <v>176</v>
      </c>
    </row>
    <row r="921" customFormat="false" ht="17.15" hidden="false" customHeight="false" outlineLevel="0" collapsed="false">
      <c r="A921" s="21" t="s">
        <v>968</v>
      </c>
      <c r="B921" s="15" t="s">
        <v>1353</v>
      </c>
      <c r="C921" s="21" t="s">
        <v>974</v>
      </c>
      <c r="D921" s="21" t="s">
        <v>1091</v>
      </c>
      <c r="E921" s="35" t="n">
        <v>110000</v>
      </c>
      <c r="F921" s="35" t="n">
        <v>0</v>
      </c>
      <c r="G921" s="35" t="n">
        <v>21684900</v>
      </c>
      <c r="H921" s="37" t="s">
        <v>176</v>
      </c>
    </row>
    <row r="922" customFormat="false" ht="17.15" hidden="false" customHeight="false" outlineLevel="0" collapsed="false">
      <c r="A922" s="21" t="s">
        <v>968</v>
      </c>
      <c r="B922" s="15" t="s">
        <v>1353</v>
      </c>
      <c r="C922" s="21" t="s">
        <v>974</v>
      </c>
      <c r="D922" s="21" t="s">
        <v>1092</v>
      </c>
      <c r="E922" s="35" t="n">
        <v>110000</v>
      </c>
      <c r="F922" s="35" t="n">
        <v>0</v>
      </c>
      <c r="G922" s="35" t="n">
        <v>21794900</v>
      </c>
      <c r="H922" s="37" t="s">
        <v>176</v>
      </c>
    </row>
    <row r="923" customFormat="false" ht="15" hidden="false" customHeight="false" outlineLevel="0" collapsed="false">
      <c r="A923" s="21" t="s">
        <v>968</v>
      </c>
      <c r="B923" s="15" t="s">
        <v>1354</v>
      </c>
      <c r="C923" s="21" t="s">
        <v>980</v>
      </c>
      <c r="D923" s="15" t="s">
        <v>984</v>
      </c>
      <c r="E923" s="35" t="n">
        <v>895246</v>
      </c>
      <c r="F923" s="35" t="n">
        <v>0</v>
      </c>
      <c r="G923" s="35" t="n">
        <v>21904900</v>
      </c>
      <c r="H923" s="36" t="s">
        <v>198</v>
      </c>
    </row>
    <row r="924" customFormat="false" ht="15" hidden="false" customHeight="false" outlineLevel="0" collapsed="false">
      <c r="A924" s="21" t="s">
        <v>968</v>
      </c>
      <c r="B924" s="15" t="s">
        <v>1354</v>
      </c>
      <c r="C924" s="21" t="s">
        <v>980</v>
      </c>
      <c r="D924" s="15" t="s">
        <v>982</v>
      </c>
      <c r="E924" s="35" t="n">
        <v>290499</v>
      </c>
      <c r="F924" s="35" t="n">
        <v>0</v>
      </c>
      <c r="G924" s="35" t="n">
        <v>22800146</v>
      </c>
      <c r="H924" s="36" t="s">
        <v>198</v>
      </c>
    </row>
    <row r="925" customFormat="false" ht="15" hidden="false" customHeight="false" outlineLevel="0" collapsed="false">
      <c r="A925" s="21" t="s">
        <v>968</v>
      </c>
      <c r="B925" s="15" t="s">
        <v>1354</v>
      </c>
      <c r="C925" s="21" t="s">
        <v>980</v>
      </c>
      <c r="D925" s="15" t="s">
        <v>983</v>
      </c>
      <c r="E925" s="35" t="n">
        <v>193666</v>
      </c>
      <c r="F925" s="35" t="n">
        <v>0</v>
      </c>
      <c r="G925" s="35" t="n">
        <v>23090645</v>
      </c>
      <c r="H925" s="36" t="s">
        <v>198</v>
      </c>
    </row>
    <row r="926" customFormat="false" ht="15" hidden="false" customHeight="false" outlineLevel="0" collapsed="false">
      <c r="A926" s="21" t="s">
        <v>968</v>
      </c>
      <c r="B926" s="15" t="s">
        <v>1354</v>
      </c>
      <c r="C926" s="21" t="s">
        <v>980</v>
      </c>
      <c r="D926" s="15" t="s">
        <v>981</v>
      </c>
      <c r="E926" s="35" t="n">
        <v>5309153</v>
      </c>
      <c r="F926" s="35" t="n">
        <v>0</v>
      </c>
      <c r="G926" s="35" t="n">
        <v>23284311</v>
      </c>
      <c r="H926" s="36" t="s">
        <v>198</v>
      </c>
    </row>
    <row r="927" customFormat="false" ht="15" hidden="false" customHeight="false" outlineLevel="0" collapsed="false">
      <c r="A927" s="21" t="s">
        <v>968</v>
      </c>
      <c r="B927" s="15" t="s">
        <v>1354</v>
      </c>
      <c r="C927" s="21" t="s">
        <v>980</v>
      </c>
      <c r="D927" s="15" t="s">
        <v>985</v>
      </c>
      <c r="E927" s="35" t="n">
        <v>760136</v>
      </c>
      <c r="F927" s="35" t="n">
        <v>0</v>
      </c>
      <c r="G927" s="35" t="n">
        <v>28593464</v>
      </c>
      <c r="H927" s="36" t="s">
        <v>198</v>
      </c>
    </row>
    <row r="928" customFormat="false" ht="17.15" hidden="false" customHeight="false" outlineLevel="0" collapsed="false">
      <c r="A928" s="21" t="s">
        <v>968</v>
      </c>
      <c r="B928" s="15" t="s">
        <v>1355</v>
      </c>
      <c r="C928" s="21" t="s">
        <v>1001</v>
      </c>
      <c r="D928" s="15" t="s">
        <v>1356</v>
      </c>
      <c r="E928" s="35" t="n">
        <v>350340</v>
      </c>
      <c r="F928" s="35" t="n">
        <v>0</v>
      </c>
      <c r="G928" s="35" t="n">
        <v>29353600</v>
      </c>
      <c r="H928" s="36" t="s">
        <v>1003</v>
      </c>
    </row>
    <row r="929" customFormat="false" ht="17.15" hidden="false" customHeight="false" outlineLevel="0" collapsed="false">
      <c r="A929" s="21" t="s">
        <v>968</v>
      </c>
      <c r="B929" s="15" t="s">
        <v>1355</v>
      </c>
      <c r="C929" s="21" t="s">
        <v>1001</v>
      </c>
      <c r="D929" s="15" t="s">
        <v>1357</v>
      </c>
      <c r="E929" s="35" t="n">
        <v>344720</v>
      </c>
      <c r="F929" s="35" t="n">
        <v>0</v>
      </c>
      <c r="G929" s="35" t="n">
        <v>29703940</v>
      </c>
      <c r="H929" s="36" t="s">
        <v>1003</v>
      </c>
    </row>
    <row r="930" customFormat="false" ht="17.15" hidden="false" customHeight="false" outlineLevel="0" collapsed="false">
      <c r="A930" s="21" t="s">
        <v>968</v>
      </c>
      <c r="B930" s="15" t="s">
        <v>1358</v>
      </c>
      <c r="C930" s="15" t="s">
        <v>170</v>
      </c>
      <c r="D930" s="21" t="s">
        <v>988</v>
      </c>
      <c r="E930" s="35" t="n">
        <v>44000</v>
      </c>
      <c r="F930" s="35" t="n">
        <v>0</v>
      </c>
      <c r="G930" s="35" t="n">
        <v>30048660</v>
      </c>
      <c r="H930" s="36" t="s">
        <v>494</v>
      </c>
    </row>
    <row r="931" customFormat="false" ht="17.15" hidden="false" customHeight="false" outlineLevel="0" collapsed="false">
      <c r="A931" s="21" t="s">
        <v>968</v>
      </c>
      <c r="B931" s="15" t="s">
        <v>1359</v>
      </c>
      <c r="C931" s="15" t="s">
        <v>1062</v>
      </c>
      <c r="D931" s="21" t="s">
        <v>995</v>
      </c>
      <c r="E931" s="35" t="n">
        <v>3495911</v>
      </c>
      <c r="F931" s="35" t="n">
        <v>0</v>
      </c>
      <c r="G931" s="35" t="n">
        <v>30092660</v>
      </c>
      <c r="H931" s="36" t="s">
        <v>184</v>
      </c>
    </row>
    <row r="932" customFormat="false" ht="17.15" hidden="false" customHeight="false" outlineLevel="0" collapsed="false">
      <c r="A932" s="21" t="s">
        <v>968</v>
      </c>
      <c r="B932" s="15" t="s">
        <v>1360</v>
      </c>
      <c r="C932" s="21" t="s">
        <v>1361</v>
      </c>
      <c r="D932" s="21" t="s">
        <v>1362</v>
      </c>
      <c r="E932" s="35" t="n">
        <v>2000000</v>
      </c>
      <c r="F932" s="35" t="n">
        <v>0</v>
      </c>
      <c r="G932" s="35" t="n">
        <v>33588571</v>
      </c>
      <c r="H932" s="36" t="s">
        <v>224</v>
      </c>
    </row>
    <row r="933" customFormat="false" ht="17.15" hidden="false" customHeight="false" outlineLevel="0" collapsed="false">
      <c r="A933" s="21" t="s">
        <v>968</v>
      </c>
      <c r="B933" s="15" t="s">
        <v>1363</v>
      </c>
      <c r="C933" s="21" t="s">
        <v>990</v>
      </c>
      <c r="D933" s="21" t="s">
        <v>1364</v>
      </c>
      <c r="E933" s="35" t="n">
        <v>660000</v>
      </c>
      <c r="F933" s="35" t="n">
        <v>0</v>
      </c>
      <c r="G933" s="35" t="n">
        <v>35588571</v>
      </c>
      <c r="H933" s="36" t="s">
        <v>141</v>
      </c>
    </row>
    <row r="934" customFormat="false" ht="17.15" hidden="false" customHeight="false" outlineLevel="0" collapsed="false">
      <c r="A934" s="21" t="s">
        <v>968</v>
      </c>
      <c r="B934" s="15" t="s">
        <v>1365</v>
      </c>
      <c r="C934" s="21" t="s">
        <v>990</v>
      </c>
      <c r="D934" s="21" t="s">
        <v>1366</v>
      </c>
      <c r="E934" s="35" t="n">
        <v>4318670</v>
      </c>
      <c r="F934" s="35" t="n">
        <v>0</v>
      </c>
      <c r="G934" s="35" t="n">
        <v>36248571</v>
      </c>
      <c r="H934" s="36" t="s">
        <v>224</v>
      </c>
    </row>
    <row r="935" customFormat="false" ht="17.15" hidden="false" customHeight="false" outlineLevel="0" collapsed="false">
      <c r="A935" s="38" t="s">
        <v>968</v>
      </c>
      <c r="B935" s="39" t="s">
        <v>1367</v>
      </c>
      <c r="C935" s="38" t="s">
        <v>250</v>
      </c>
      <c r="D935" s="39" t="s">
        <v>1368</v>
      </c>
      <c r="E935" s="40" t="n">
        <v>3000000</v>
      </c>
      <c r="F935" s="40" t="n">
        <v>0</v>
      </c>
      <c r="G935" s="40" t="n">
        <v>40567241</v>
      </c>
      <c r="H935" s="41" t="s">
        <v>1113</v>
      </c>
    </row>
    <row r="936" customFormat="false" ht="17.15" hidden="false" customHeight="false" outlineLevel="0" collapsed="false">
      <c r="A936" s="21" t="s">
        <v>968</v>
      </c>
      <c r="B936" s="15" t="s">
        <v>1369</v>
      </c>
      <c r="C936" s="21" t="s">
        <v>990</v>
      </c>
      <c r="D936" s="21" t="s">
        <v>1370</v>
      </c>
      <c r="E936" s="35" t="n">
        <v>50000</v>
      </c>
      <c r="F936" s="35" t="n">
        <v>0</v>
      </c>
      <c r="G936" s="35" t="n">
        <v>43567241</v>
      </c>
      <c r="H936" s="36" t="s">
        <v>494</v>
      </c>
    </row>
    <row r="937" customFormat="false" ht="17.15" hidden="false" customHeight="false" outlineLevel="0" collapsed="false">
      <c r="A937" s="38" t="s">
        <v>968</v>
      </c>
      <c r="B937" s="39" t="s">
        <v>1371</v>
      </c>
      <c r="C937" s="38" t="s">
        <v>990</v>
      </c>
      <c r="D937" s="38" t="s">
        <v>447</v>
      </c>
      <c r="E937" s="40" t="n">
        <v>6695000</v>
      </c>
      <c r="F937" s="40" t="n">
        <v>0</v>
      </c>
      <c r="G937" s="40" t="n">
        <v>43617241</v>
      </c>
      <c r="H937" s="41" t="s">
        <v>448</v>
      </c>
    </row>
    <row r="938" customFormat="false" ht="17.15" hidden="false" customHeight="false" outlineLevel="0" collapsed="false">
      <c r="A938" s="21" t="s">
        <v>968</v>
      </c>
      <c r="B938" s="15" t="s">
        <v>1372</v>
      </c>
      <c r="C938" s="21" t="s">
        <v>990</v>
      </c>
      <c r="D938" s="21" t="s">
        <v>1373</v>
      </c>
      <c r="E938" s="35" t="n">
        <v>37400</v>
      </c>
      <c r="F938" s="35" t="n">
        <v>0</v>
      </c>
      <c r="G938" s="35" t="n">
        <v>50312241</v>
      </c>
      <c r="H938" s="37" t="s">
        <v>176</v>
      </c>
    </row>
    <row r="939" customFormat="false" ht="17.15" hidden="false" customHeight="false" outlineLevel="0" collapsed="false">
      <c r="A939" s="30" t="s">
        <v>968</v>
      </c>
      <c r="B939" s="29" t="s">
        <v>1374</v>
      </c>
      <c r="C939" s="30" t="s">
        <v>1375</v>
      </c>
      <c r="D939" s="30" t="s">
        <v>1376</v>
      </c>
      <c r="E939" s="33" t="n">
        <v>0</v>
      </c>
      <c r="F939" s="33" t="n">
        <v>50349641</v>
      </c>
      <c r="G939" s="33" t="n">
        <v>50349641</v>
      </c>
      <c r="H939" s="34" t="s">
        <v>1212</v>
      </c>
    </row>
    <row r="940" customFormat="false" ht="17.15" hidden="false" customHeight="false" outlineLevel="0" collapsed="false">
      <c r="A940" s="21" t="s">
        <v>968</v>
      </c>
      <c r="B940" s="15" t="s">
        <v>1377</v>
      </c>
      <c r="C940" s="21" t="s">
        <v>1001</v>
      </c>
      <c r="D940" s="15" t="s">
        <v>1357</v>
      </c>
      <c r="E940" s="35" t="n">
        <v>2035090</v>
      </c>
      <c r="F940" s="35" t="n">
        <v>0</v>
      </c>
      <c r="G940" s="35" t="n">
        <v>0</v>
      </c>
      <c r="H940" s="36" t="s">
        <v>1003</v>
      </c>
    </row>
    <row r="941" customFormat="false" ht="17.15" hidden="false" customHeight="false" outlineLevel="0" collapsed="false">
      <c r="A941" s="21" t="s">
        <v>968</v>
      </c>
      <c r="B941" s="15" t="s">
        <v>1377</v>
      </c>
      <c r="C941" s="21" t="s">
        <v>1001</v>
      </c>
      <c r="D941" s="15" t="s">
        <v>1378</v>
      </c>
      <c r="E941" s="35" t="n">
        <v>473970</v>
      </c>
      <c r="F941" s="35" t="n">
        <v>0</v>
      </c>
      <c r="G941" s="35" t="n">
        <v>2035090</v>
      </c>
      <c r="H941" s="36" t="s">
        <v>1003</v>
      </c>
    </row>
    <row r="942" customFormat="false" ht="17.15" hidden="false" customHeight="false" outlineLevel="0" collapsed="false">
      <c r="A942" s="21" t="s">
        <v>968</v>
      </c>
      <c r="B942" s="15" t="s">
        <v>1379</v>
      </c>
      <c r="C942" s="21" t="s">
        <v>1001</v>
      </c>
      <c r="D942" s="15" t="s">
        <v>1380</v>
      </c>
      <c r="E942" s="35" t="n">
        <v>3138940</v>
      </c>
      <c r="F942" s="35" t="n">
        <v>0</v>
      </c>
      <c r="G942" s="35" t="n">
        <v>2509060</v>
      </c>
      <c r="H942" s="36" t="s">
        <v>1003</v>
      </c>
    </row>
    <row r="943" customFormat="false" ht="17.15" hidden="false" customHeight="false" outlineLevel="0" collapsed="false">
      <c r="A943" s="21" t="s">
        <v>968</v>
      </c>
      <c r="B943" s="15" t="s">
        <v>1381</v>
      </c>
      <c r="C943" s="21" t="s">
        <v>990</v>
      </c>
      <c r="D943" s="21" t="s">
        <v>1382</v>
      </c>
      <c r="E943" s="35" t="n">
        <v>704390</v>
      </c>
      <c r="F943" s="35" t="n">
        <v>0</v>
      </c>
      <c r="G943" s="35" t="n">
        <v>5648000</v>
      </c>
      <c r="H943" s="36" t="s">
        <v>224</v>
      </c>
    </row>
    <row r="944" customFormat="false" ht="17.15" hidden="false" customHeight="false" outlineLevel="0" collapsed="false">
      <c r="A944" s="21" t="s">
        <v>968</v>
      </c>
      <c r="B944" s="15" t="s">
        <v>1381</v>
      </c>
      <c r="C944" s="21" t="s">
        <v>990</v>
      </c>
      <c r="D944" s="21" t="s">
        <v>358</v>
      </c>
      <c r="E944" s="35" t="n">
        <v>1988230</v>
      </c>
      <c r="F944" s="35" t="n">
        <v>0</v>
      </c>
      <c r="G944" s="35" t="n">
        <v>6352390</v>
      </c>
      <c r="H944" s="36" t="s">
        <v>224</v>
      </c>
    </row>
    <row r="945" customFormat="false" ht="17.15" hidden="false" customHeight="false" outlineLevel="0" collapsed="false">
      <c r="A945" s="21" t="s">
        <v>968</v>
      </c>
      <c r="B945" s="15" t="s">
        <v>1381</v>
      </c>
      <c r="C945" s="21" t="s">
        <v>990</v>
      </c>
      <c r="D945" s="21" t="s">
        <v>358</v>
      </c>
      <c r="E945" s="35" t="n">
        <v>1988230</v>
      </c>
      <c r="F945" s="35" t="n">
        <v>0</v>
      </c>
      <c r="G945" s="35" t="n">
        <v>8340620</v>
      </c>
      <c r="H945" s="36" t="s">
        <v>224</v>
      </c>
    </row>
    <row r="946" customFormat="false" ht="17.15" hidden="false" customHeight="false" outlineLevel="0" collapsed="false">
      <c r="A946" s="21" t="s">
        <v>968</v>
      </c>
      <c r="B946" s="15" t="s">
        <v>1381</v>
      </c>
      <c r="C946" s="21" t="s">
        <v>990</v>
      </c>
      <c r="D946" s="21" t="s">
        <v>1382</v>
      </c>
      <c r="E946" s="35" t="n">
        <v>1988230</v>
      </c>
      <c r="F946" s="35" t="n">
        <v>0</v>
      </c>
      <c r="G946" s="35" t="n">
        <v>10328850</v>
      </c>
      <c r="H946" s="36" t="s">
        <v>224</v>
      </c>
    </row>
    <row r="947" customFormat="false" ht="17.15" hidden="false" customHeight="false" outlineLevel="0" collapsed="false">
      <c r="A947" s="21" t="s">
        <v>968</v>
      </c>
      <c r="B947" s="15" t="s">
        <v>1381</v>
      </c>
      <c r="C947" s="21" t="s">
        <v>990</v>
      </c>
      <c r="D947" s="21" t="s">
        <v>1382</v>
      </c>
      <c r="E947" s="35" t="n">
        <v>2195480</v>
      </c>
      <c r="F947" s="35" t="n">
        <v>0</v>
      </c>
      <c r="G947" s="35" t="n">
        <v>12317080</v>
      </c>
      <c r="H947" s="36" t="s">
        <v>224</v>
      </c>
    </row>
    <row r="948" customFormat="false" ht="17.15" hidden="false" customHeight="false" outlineLevel="0" collapsed="false">
      <c r="A948" s="21" t="s">
        <v>968</v>
      </c>
      <c r="B948" s="15" t="s">
        <v>1381</v>
      </c>
      <c r="C948" s="21" t="s">
        <v>990</v>
      </c>
      <c r="D948" s="21" t="s">
        <v>1383</v>
      </c>
      <c r="E948" s="35" t="n">
        <v>2252700</v>
      </c>
      <c r="F948" s="35" t="n">
        <v>0</v>
      </c>
      <c r="G948" s="35" t="n">
        <v>14512560</v>
      </c>
      <c r="H948" s="36" t="s">
        <v>224</v>
      </c>
    </row>
    <row r="949" customFormat="false" ht="17.15" hidden="false" customHeight="false" outlineLevel="0" collapsed="false">
      <c r="A949" s="21" t="s">
        <v>968</v>
      </c>
      <c r="B949" s="15" t="s">
        <v>1381</v>
      </c>
      <c r="C949" s="21" t="s">
        <v>990</v>
      </c>
      <c r="D949" s="15" t="s">
        <v>1384</v>
      </c>
      <c r="E949" s="35" t="n">
        <v>4273430</v>
      </c>
      <c r="F949" s="35" t="n">
        <v>0</v>
      </c>
      <c r="G949" s="35" t="n">
        <v>16765260</v>
      </c>
      <c r="H949" s="36" t="s">
        <v>224</v>
      </c>
    </row>
    <row r="950" customFormat="false" ht="17.15" hidden="false" customHeight="false" outlineLevel="0" collapsed="false">
      <c r="A950" s="21" t="s">
        <v>968</v>
      </c>
      <c r="B950" s="15" t="s">
        <v>1381</v>
      </c>
      <c r="C950" s="21" t="s">
        <v>990</v>
      </c>
      <c r="D950" s="21" t="s">
        <v>1385</v>
      </c>
      <c r="E950" s="35" t="n">
        <v>3221490</v>
      </c>
      <c r="F950" s="35" t="n">
        <v>0</v>
      </c>
      <c r="G950" s="35" t="n">
        <v>21038690</v>
      </c>
      <c r="H950" s="36" t="s">
        <v>224</v>
      </c>
    </row>
    <row r="951" customFormat="false" ht="17.15" hidden="false" customHeight="false" outlineLevel="0" collapsed="false">
      <c r="A951" s="21" t="s">
        <v>968</v>
      </c>
      <c r="B951" s="15" t="s">
        <v>1381</v>
      </c>
      <c r="C951" s="21" t="s">
        <v>990</v>
      </c>
      <c r="D951" s="21" t="s">
        <v>1386</v>
      </c>
      <c r="E951" s="35" t="n">
        <v>3646870</v>
      </c>
      <c r="F951" s="35" t="n">
        <v>0</v>
      </c>
      <c r="G951" s="35" t="n">
        <v>24260180</v>
      </c>
      <c r="H951" s="36" t="s">
        <v>224</v>
      </c>
    </row>
    <row r="952" customFormat="false" ht="17.15" hidden="false" customHeight="false" outlineLevel="0" collapsed="false">
      <c r="A952" s="21" t="s">
        <v>968</v>
      </c>
      <c r="B952" s="15" t="s">
        <v>1381</v>
      </c>
      <c r="C952" s="21" t="s">
        <v>990</v>
      </c>
      <c r="D952" s="21" t="s">
        <v>1383</v>
      </c>
      <c r="E952" s="35" t="n">
        <v>3590550</v>
      </c>
      <c r="F952" s="35" t="n">
        <v>0</v>
      </c>
      <c r="G952" s="35" t="n">
        <v>27907050</v>
      </c>
      <c r="H952" s="36" t="s">
        <v>224</v>
      </c>
    </row>
    <row r="953" customFormat="false" ht="17.15" hidden="false" customHeight="false" outlineLevel="0" collapsed="false">
      <c r="A953" s="21" t="s">
        <v>968</v>
      </c>
      <c r="B953" s="15" t="s">
        <v>1381</v>
      </c>
      <c r="C953" s="21" t="s">
        <v>990</v>
      </c>
      <c r="D953" s="21" t="s">
        <v>1383</v>
      </c>
      <c r="E953" s="35" t="n">
        <v>2930600</v>
      </c>
      <c r="F953" s="35" t="n">
        <v>0</v>
      </c>
      <c r="G953" s="35" t="n">
        <v>31497600</v>
      </c>
      <c r="H953" s="36" t="s">
        <v>224</v>
      </c>
    </row>
    <row r="954" customFormat="false" ht="17.15" hidden="false" customHeight="false" outlineLevel="0" collapsed="false">
      <c r="A954" s="30" t="s">
        <v>968</v>
      </c>
      <c r="B954" s="29" t="s">
        <v>1387</v>
      </c>
      <c r="C954" s="30" t="s">
        <v>990</v>
      </c>
      <c r="D954" s="30" t="s">
        <v>617</v>
      </c>
      <c r="E954" s="33" t="n">
        <v>0</v>
      </c>
      <c r="F954" s="33" t="n">
        <v>20000000</v>
      </c>
      <c r="G954" s="33" t="n">
        <v>34428200</v>
      </c>
      <c r="H954" s="34" t="s">
        <v>454</v>
      </c>
    </row>
    <row r="955" customFormat="false" ht="17.15" hidden="false" customHeight="false" outlineLevel="0" collapsed="false">
      <c r="A955" s="30" t="s">
        <v>968</v>
      </c>
      <c r="B955" s="29" t="s">
        <v>1388</v>
      </c>
      <c r="C955" s="30" t="s">
        <v>990</v>
      </c>
      <c r="D955" s="29" t="s">
        <v>991</v>
      </c>
      <c r="E955" s="33" t="n">
        <v>0</v>
      </c>
      <c r="F955" s="33" t="n">
        <v>11000000</v>
      </c>
      <c r="G955" s="33" t="n">
        <v>14428200</v>
      </c>
      <c r="H955" s="34" t="s">
        <v>992</v>
      </c>
    </row>
    <row r="956" customFormat="false" ht="17.15" hidden="false" customHeight="false" outlineLevel="0" collapsed="false">
      <c r="A956" s="30" t="s">
        <v>968</v>
      </c>
      <c r="B956" s="29" t="s">
        <v>1389</v>
      </c>
      <c r="C956" s="30" t="s">
        <v>990</v>
      </c>
      <c r="D956" s="30" t="s">
        <v>1390</v>
      </c>
      <c r="E956" s="33" t="n">
        <v>35976000</v>
      </c>
      <c r="F956" s="33" t="n">
        <v>0</v>
      </c>
      <c r="G956" s="33" t="n">
        <v>3428200</v>
      </c>
      <c r="H956" s="34" t="s">
        <v>168</v>
      </c>
    </row>
    <row r="957" customFormat="false" ht="17.15" hidden="false" customHeight="false" outlineLevel="0" collapsed="false">
      <c r="A957" s="21" t="s">
        <v>968</v>
      </c>
      <c r="B957" s="15" t="s">
        <v>1391</v>
      </c>
      <c r="C957" s="15" t="s">
        <v>1062</v>
      </c>
      <c r="D957" s="21" t="s">
        <v>1009</v>
      </c>
      <c r="E957" s="35" t="n">
        <v>165000</v>
      </c>
      <c r="F957" s="35" t="n">
        <v>0</v>
      </c>
      <c r="G957" s="35" t="n">
        <v>39404200</v>
      </c>
      <c r="H957" s="36" t="s">
        <v>492</v>
      </c>
    </row>
    <row r="958" customFormat="false" ht="17.15" hidden="false" customHeight="false" outlineLevel="0" collapsed="false">
      <c r="A958" s="21" t="s">
        <v>968</v>
      </c>
      <c r="B958" s="15" t="s">
        <v>1392</v>
      </c>
      <c r="C958" s="21" t="s">
        <v>1011</v>
      </c>
      <c r="D958" s="15" t="s">
        <v>1393</v>
      </c>
      <c r="E958" s="35" t="n">
        <v>3890620</v>
      </c>
      <c r="F958" s="35" t="n">
        <v>0</v>
      </c>
      <c r="G958" s="35" t="n">
        <v>39569200</v>
      </c>
      <c r="H958" s="36" t="s">
        <v>1013</v>
      </c>
    </row>
    <row r="959" customFormat="false" ht="17.15" hidden="false" customHeight="false" outlineLevel="0" collapsed="false">
      <c r="A959" s="30" t="s">
        <v>968</v>
      </c>
      <c r="B959" s="29" t="s">
        <v>1394</v>
      </c>
      <c r="C959" s="30" t="s">
        <v>131</v>
      </c>
      <c r="D959" s="30" t="s">
        <v>1395</v>
      </c>
      <c r="E959" s="33" t="n">
        <v>0</v>
      </c>
      <c r="F959" s="33" t="n">
        <v>8000000</v>
      </c>
      <c r="G959" s="33" t="n">
        <v>43459820</v>
      </c>
      <c r="H959" s="34" t="s">
        <v>1340</v>
      </c>
    </row>
    <row r="960" customFormat="false" ht="17.15" hidden="false" customHeight="false" outlineLevel="0" collapsed="false">
      <c r="A960" s="21" t="s">
        <v>968</v>
      </c>
      <c r="B960" s="15" t="s">
        <v>1396</v>
      </c>
      <c r="C960" s="21" t="s">
        <v>990</v>
      </c>
      <c r="D960" s="21" t="s">
        <v>1253</v>
      </c>
      <c r="E960" s="35" t="n">
        <v>365200</v>
      </c>
      <c r="F960" s="35" t="n">
        <v>0</v>
      </c>
      <c r="G960" s="35" t="n">
        <v>35459820</v>
      </c>
      <c r="H960" s="36" t="s">
        <v>141</v>
      </c>
    </row>
    <row r="961" customFormat="false" ht="17.15" hidden="false" customHeight="false" outlineLevel="0" collapsed="false">
      <c r="A961" s="21" t="s">
        <v>968</v>
      </c>
      <c r="B961" s="15" t="s">
        <v>1396</v>
      </c>
      <c r="C961" s="21" t="s">
        <v>990</v>
      </c>
      <c r="D961" s="21" t="s">
        <v>1397</v>
      </c>
      <c r="E961" s="35" t="n">
        <v>176000</v>
      </c>
      <c r="F961" s="35" t="n">
        <v>0</v>
      </c>
      <c r="G961" s="35" t="n">
        <v>35825020</v>
      </c>
      <c r="H961" s="36" t="s">
        <v>141</v>
      </c>
    </row>
    <row r="962" customFormat="false" ht="17.15" hidden="false" customHeight="false" outlineLevel="0" collapsed="false">
      <c r="A962" s="21" t="s">
        <v>968</v>
      </c>
      <c r="B962" s="15" t="s">
        <v>1396</v>
      </c>
      <c r="C962" s="21" t="s">
        <v>990</v>
      </c>
      <c r="D962" s="21" t="s">
        <v>1398</v>
      </c>
      <c r="E962" s="35" t="n">
        <v>200000</v>
      </c>
      <c r="F962" s="35" t="n">
        <v>0</v>
      </c>
      <c r="G962" s="35" t="n">
        <v>36001020</v>
      </c>
      <c r="H962" s="36" t="s">
        <v>138</v>
      </c>
    </row>
    <row r="963" customFormat="false" ht="17.15" hidden="false" customHeight="false" outlineLevel="0" collapsed="false">
      <c r="A963" s="21" t="s">
        <v>968</v>
      </c>
      <c r="B963" s="15" t="s">
        <v>1396</v>
      </c>
      <c r="C963" s="21" t="s">
        <v>990</v>
      </c>
      <c r="D963" s="21" t="s">
        <v>1399</v>
      </c>
      <c r="E963" s="35" t="n">
        <v>1551000</v>
      </c>
      <c r="F963" s="35" t="n">
        <v>0</v>
      </c>
      <c r="G963" s="35" t="n">
        <v>36201020</v>
      </c>
      <c r="H963" s="37" t="s">
        <v>176</v>
      </c>
    </row>
    <row r="964" customFormat="false" ht="17.15" hidden="false" customHeight="false" outlineLevel="0" collapsed="false">
      <c r="A964" s="21" t="s">
        <v>968</v>
      </c>
      <c r="B964" s="15" t="s">
        <v>1400</v>
      </c>
      <c r="C964" s="21" t="s">
        <v>970</v>
      </c>
      <c r="D964" s="15" t="s">
        <v>1401</v>
      </c>
      <c r="E964" s="35" t="n">
        <v>114070</v>
      </c>
      <c r="F964" s="35" t="n">
        <v>0</v>
      </c>
      <c r="G964" s="35" t="n">
        <v>37752020</v>
      </c>
      <c r="H964" s="36" t="s">
        <v>972</v>
      </c>
    </row>
    <row r="965" customFormat="false" ht="17.15" hidden="false" customHeight="false" outlineLevel="0" collapsed="false">
      <c r="A965" s="21" t="s">
        <v>968</v>
      </c>
      <c r="B965" s="15" t="s">
        <v>1402</v>
      </c>
      <c r="C965" s="21" t="s">
        <v>974</v>
      </c>
      <c r="D965" s="21" t="s">
        <v>1089</v>
      </c>
      <c r="E965" s="35" t="n">
        <v>33000</v>
      </c>
      <c r="F965" s="35" t="n">
        <v>0</v>
      </c>
      <c r="G965" s="35" t="n">
        <v>37866090</v>
      </c>
      <c r="H965" s="37" t="s">
        <v>176</v>
      </c>
    </row>
    <row r="966" customFormat="false" ht="17.15" hidden="false" customHeight="false" outlineLevel="0" collapsed="false">
      <c r="A966" s="21" t="s">
        <v>968</v>
      </c>
      <c r="B966" s="15" t="s">
        <v>1402</v>
      </c>
      <c r="C966" s="21" t="s">
        <v>974</v>
      </c>
      <c r="D966" s="21" t="s">
        <v>1090</v>
      </c>
      <c r="E966" s="35" t="n">
        <v>264000</v>
      </c>
      <c r="F966" s="35" t="n">
        <v>0</v>
      </c>
      <c r="G966" s="35" t="n">
        <v>37899090</v>
      </c>
      <c r="H966" s="37" t="s">
        <v>176</v>
      </c>
    </row>
    <row r="967" customFormat="false" ht="17.15" hidden="false" customHeight="false" outlineLevel="0" collapsed="false">
      <c r="A967" s="21" t="s">
        <v>968</v>
      </c>
      <c r="B967" s="15" t="s">
        <v>1402</v>
      </c>
      <c r="C967" s="21" t="s">
        <v>974</v>
      </c>
      <c r="D967" s="21" t="s">
        <v>1091</v>
      </c>
      <c r="E967" s="35" t="n">
        <v>110000</v>
      </c>
      <c r="F967" s="35" t="n">
        <v>0</v>
      </c>
      <c r="G967" s="35" t="n">
        <v>38163090</v>
      </c>
      <c r="H967" s="37" t="s">
        <v>176</v>
      </c>
    </row>
    <row r="968" customFormat="false" ht="17.15" hidden="false" customHeight="false" outlineLevel="0" collapsed="false">
      <c r="A968" s="21" t="s">
        <v>968</v>
      </c>
      <c r="B968" s="15" t="s">
        <v>1402</v>
      </c>
      <c r="C968" s="21" t="s">
        <v>974</v>
      </c>
      <c r="D968" s="21" t="s">
        <v>1092</v>
      </c>
      <c r="E968" s="35" t="n">
        <v>110000</v>
      </c>
      <c r="F968" s="35" t="n">
        <v>0</v>
      </c>
      <c r="G968" s="35" t="n">
        <v>38273090</v>
      </c>
      <c r="H968" s="37" t="s">
        <v>176</v>
      </c>
    </row>
    <row r="969" customFormat="false" ht="17.15" hidden="false" customHeight="false" outlineLevel="0" collapsed="false">
      <c r="A969" s="21" t="s">
        <v>968</v>
      </c>
      <c r="B969" s="15" t="s">
        <v>1403</v>
      </c>
      <c r="C969" s="21" t="s">
        <v>990</v>
      </c>
      <c r="D969" s="21" t="s">
        <v>1404</v>
      </c>
      <c r="E969" s="35" t="n">
        <v>3413300</v>
      </c>
      <c r="F969" s="35" t="n">
        <v>0</v>
      </c>
      <c r="G969" s="35" t="n">
        <v>38383090</v>
      </c>
      <c r="H969" s="36" t="s">
        <v>494</v>
      </c>
    </row>
    <row r="970" customFormat="false" ht="17.15" hidden="false" customHeight="false" outlineLevel="0" collapsed="false">
      <c r="A970" s="21" t="s">
        <v>968</v>
      </c>
      <c r="B970" s="15" t="s">
        <v>1403</v>
      </c>
      <c r="C970" s="21" t="s">
        <v>990</v>
      </c>
      <c r="D970" s="21" t="s">
        <v>1405</v>
      </c>
      <c r="E970" s="35" t="n">
        <v>4180000</v>
      </c>
      <c r="F970" s="35" t="n">
        <v>0</v>
      </c>
      <c r="G970" s="35" t="n">
        <v>41796390</v>
      </c>
      <c r="H970" s="36" t="s">
        <v>494</v>
      </c>
    </row>
    <row r="971" customFormat="false" ht="17.15" hidden="false" customHeight="false" outlineLevel="0" collapsed="false">
      <c r="A971" s="21" t="s">
        <v>968</v>
      </c>
      <c r="B971" s="15" t="s">
        <v>1403</v>
      </c>
      <c r="C971" s="21" t="s">
        <v>990</v>
      </c>
      <c r="D971" s="21" t="s">
        <v>1405</v>
      </c>
      <c r="E971" s="35" t="n">
        <v>5500000</v>
      </c>
      <c r="F971" s="35" t="n">
        <v>0</v>
      </c>
      <c r="G971" s="35" t="n">
        <v>45976390</v>
      </c>
      <c r="H971" s="36" t="s">
        <v>494</v>
      </c>
    </row>
    <row r="972" customFormat="false" ht="17.15" hidden="false" customHeight="false" outlineLevel="0" collapsed="false">
      <c r="A972" s="21" t="s">
        <v>968</v>
      </c>
      <c r="B972" s="15" t="s">
        <v>1406</v>
      </c>
      <c r="C972" s="21" t="s">
        <v>990</v>
      </c>
      <c r="D972" s="21" t="s">
        <v>1407</v>
      </c>
      <c r="E972" s="35" t="n">
        <v>5500000</v>
      </c>
      <c r="F972" s="35" t="n">
        <v>0</v>
      </c>
      <c r="G972" s="35" t="n">
        <v>51476390</v>
      </c>
      <c r="H972" s="36" t="s">
        <v>494</v>
      </c>
    </row>
    <row r="973" customFormat="false" ht="17.15" hidden="false" customHeight="false" outlineLevel="0" collapsed="false">
      <c r="A973" s="21" t="s">
        <v>968</v>
      </c>
      <c r="B973" s="15" t="s">
        <v>1408</v>
      </c>
      <c r="C973" s="21" t="s">
        <v>1001</v>
      </c>
      <c r="D973" s="15" t="s">
        <v>1409</v>
      </c>
      <c r="E973" s="35" t="n">
        <v>2771710</v>
      </c>
      <c r="F973" s="35" t="n">
        <v>0</v>
      </c>
      <c r="G973" s="35" t="n">
        <v>56976390</v>
      </c>
      <c r="H973" s="36" t="s">
        <v>1003</v>
      </c>
    </row>
    <row r="974" customFormat="false" ht="15" hidden="false" customHeight="false" outlineLevel="0" collapsed="false">
      <c r="A974" s="21" t="s">
        <v>968</v>
      </c>
      <c r="B974" s="15" t="s">
        <v>1410</v>
      </c>
      <c r="C974" s="21" t="s">
        <v>980</v>
      </c>
      <c r="D974" s="15" t="s">
        <v>984</v>
      </c>
      <c r="E974" s="35" t="n">
        <v>866367</v>
      </c>
      <c r="F974" s="35" t="n">
        <v>0</v>
      </c>
      <c r="G974" s="35" t="n">
        <v>59748100</v>
      </c>
      <c r="H974" s="36" t="s">
        <v>198</v>
      </c>
    </row>
    <row r="975" customFormat="false" ht="15" hidden="false" customHeight="false" outlineLevel="0" collapsed="false">
      <c r="A975" s="21" t="s">
        <v>968</v>
      </c>
      <c r="B975" s="15" t="s">
        <v>1410</v>
      </c>
      <c r="C975" s="21" t="s">
        <v>980</v>
      </c>
      <c r="D975" s="15" t="s">
        <v>985</v>
      </c>
      <c r="E975" s="35" t="n">
        <v>735616</v>
      </c>
      <c r="F975" s="35" t="n">
        <v>0</v>
      </c>
      <c r="G975" s="35" t="n">
        <v>60614467</v>
      </c>
      <c r="H975" s="36" t="s">
        <v>198</v>
      </c>
    </row>
    <row r="976" customFormat="false" ht="15" hidden="false" customHeight="false" outlineLevel="0" collapsed="false">
      <c r="A976" s="21" t="s">
        <v>968</v>
      </c>
      <c r="B976" s="15" t="s">
        <v>1410</v>
      </c>
      <c r="C976" s="21" t="s">
        <v>980</v>
      </c>
      <c r="D976" s="15" t="s">
        <v>981</v>
      </c>
      <c r="E976" s="35" t="n">
        <v>5170931</v>
      </c>
      <c r="F976" s="35" t="n">
        <v>0</v>
      </c>
      <c r="G976" s="35" t="n">
        <v>61350083</v>
      </c>
      <c r="H976" s="36" t="s">
        <v>198</v>
      </c>
    </row>
    <row r="977" customFormat="false" ht="15" hidden="false" customHeight="false" outlineLevel="0" collapsed="false">
      <c r="A977" s="21" t="s">
        <v>968</v>
      </c>
      <c r="B977" s="15" t="s">
        <v>1410</v>
      </c>
      <c r="C977" s="21" t="s">
        <v>980</v>
      </c>
      <c r="D977" s="15" t="s">
        <v>983</v>
      </c>
      <c r="E977" s="35" t="n">
        <v>187419</v>
      </c>
      <c r="F977" s="35" t="n">
        <v>0</v>
      </c>
      <c r="G977" s="35" t="n">
        <v>66521014</v>
      </c>
      <c r="H977" s="36" t="s">
        <v>198</v>
      </c>
    </row>
    <row r="978" customFormat="false" ht="15" hidden="false" customHeight="false" outlineLevel="0" collapsed="false">
      <c r="A978" s="21" t="s">
        <v>968</v>
      </c>
      <c r="B978" s="15" t="s">
        <v>1410</v>
      </c>
      <c r="C978" s="21" t="s">
        <v>980</v>
      </c>
      <c r="D978" s="15" t="s">
        <v>982</v>
      </c>
      <c r="E978" s="35" t="n">
        <v>281129</v>
      </c>
      <c r="F978" s="35" t="n">
        <v>0</v>
      </c>
      <c r="G978" s="35" t="n">
        <v>66708433</v>
      </c>
      <c r="H978" s="36" t="s">
        <v>198</v>
      </c>
    </row>
    <row r="979" customFormat="false" ht="17.15" hidden="false" customHeight="false" outlineLevel="0" collapsed="false">
      <c r="A979" s="30" t="s">
        <v>968</v>
      </c>
      <c r="B979" s="29" t="s">
        <v>1411</v>
      </c>
      <c r="C979" s="30" t="s">
        <v>1375</v>
      </c>
      <c r="D979" s="30" t="s">
        <v>1376</v>
      </c>
      <c r="E979" s="33" t="n">
        <v>0</v>
      </c>
      <c r="F979" s="33" t="n">
        <v>53402039</v>
      </c>
      <c r="G979" s="33" t="n">
        <v>66989562</v>
      </c>
      <c r="H979" s="34" t="s">
        <v>1212</v>
      </c>
    </row>
    <row r="980" customFormat="false" ht="17.15" hidden="false" customHeight="false" outlineLevel="0" collapsed="false">
      <c r="A980" s="21" t="s">
        <v>968</v>
      </c>
      <c r="B980" s="15" t="s">
        <v>1412</v>
      </c>
      <c r="C980" s="21" t="s">
        <v>990</v>
      </c>
      <c r="D980" s="21" t="s">
        <v>1413</v>
      </c>
      <c r="E980" s="35" t="n">
        <v>250000</v>
      </c>
      <c r="F980" s="35" t="n">
        <v>0</v>
      </c>
      <c r="G980" s="35" t="n">
        <v>13587523</v>
      </c>
      <c r="H980" s="37" t="s">
        <v>176</v>
      </c>
    </row>
    <row r="981" customFormat="false" ht="17.15" hidden="false" customHeight="false" outlineLevel="0" collapsed="false">
      <c r="A981" s="21" t="s">
        <v>968</v>
      </c>
      <c r="B981" s="15" t="s">
        <v>1414</v>
      </c>
      <c r="C981" s="15" t="s">
        <v>170</v>
      </c>
      <c r="D981" s="21" t="s">
        <v>988</v>
      </c>
      <c r="E981" s="35" t="n">
        <v>44000</v>
      </c>
      <c r="F981" s="35" t="n">
        <v>0</v>
      </c>
      <c r="G981" s="35" t="n">
        <v>13837523</v>
      </c>
      <c r="H981" s="36" t="s">
        <v>494</v>
      </c>
    </row>
    <row r="982" customFormat="false" ht="17.15" hidden="false" customHeight="false" outlineLevel="0" collapsed="false">
      <c r="A982" s="21" t="s">
        <v>968</v>
      </c>
      <c r="B982" s="15" t="s">
        <v>1415</v>
      </c>
      <c r="C982" s="21" t="s">
        <v>990</v>
      </c>
      <c r="D982" s="21" t="s">
        <v>1416</v>
      </c>
      <c r="E982" s="35" t="n">
        <v>5115000</v>
      </c>
      <c r="F982" s="35" t="n">
        <v>0</v>
      </c>
      <c r="G982" s="35" t="n">
        <v>13881523</v>
      </c>
      <c r="H982" s="36" t="s">
        <v>494</v>
      </c>
    </row>
    <row r="983" customFormat="false" ht="17.15" hidden="false" customHeight="false" outlineLevel="0" collapsed="false">
      <c r="A983" s="21" t="s">
        <v>968</v>
      </c>
      <c r="B983" s="15" t="s">
        <v>1417</v>
      </c>
      <c r="C983" s="15" t="s">
        <v>1062</v>
      </c>
      <c r="D983" s="21" t="s">
        <v>995</v>
      </c>
      <c r="E983" s="35" t="n">
        <v>1625032</v>
      </c>
      <c r="F983" s="35" t="n">
        <v>0</v>
      </c>
      <c r="G983" s="35" t="n">
        <v>18996523</v>
      </c>
      <c r="H983" s="36" t="s">
        <v>184</v>
      </c>
    </row>
    <row r="984" customFormat="false" ht="17.15" hidden="false" customHeight="false" outlineLevel="0" collapsed="false">
      <c r="A984" s="30" t="s">
        <v>968</v>
      </c>
      <c r="B984" s="29" t="s">
        <v>1418</v>
      </c>
      <c r="C984" s="30" t="s">
        <v>990</v>
      </c>
      <c r="D984" s="29" t="s">
        <v>1419</v>
      </c>
      <c r="E984" s="33" t="n">
        <v>0</v>
      </c>
      <c r="F984" s="33" t="n">
        <v>188</v>
      </c>
      <c r="G984" s="33" t="n">
        <v>20621555</v>
      </c>
      <c r="H984" s="34" t="s">
        <v>132</v>
      </c>
    </row>
    <row r="985" customFormat="false" ht="17.15" hidden="false" customHeight="false" outlineLevel="0" collapsed="false">
      <c r="A985" s="21" t="s">
        <v>968</v>
      </c>
      <c r="B985" s="15" t="s">
        <v>1420</v>
      </c>
      <c r="C985" s="21" t="s">
        <v>990</v>
      </c>
      <c r="D985" s="15" t="s">
        <v>1128</v>
      </c>
      <c r="E985" s="35" t="n">
        <v>4273430</v>
      </c>
      <c r="F985" s="35" t="n">
        <v>0</v>
      </c>
      <c r="G985" s="35" t="n">
        <v>20621367</v>
      </c>
      <c r="H985" s="36" t="s">
        <v>224</v>
      </c>
    </row>
    <row r="986" customFormat="false" ht="17.15" hidden="false" customHeight="false" outlineLevel="0" collapsed="false">
      <c r="A986" s="21" t="s">
        <v>968</v>
      </c>
      <c r="B986" s="15" t="s">
        <v>1420</v>
      </c>
      <c r="C986" s="21" t="s">
        <v>990</v>
      </c>
      <c r="D986" s="21" t="s">
        <v>1222</v>
      </c>
      <c r="E986" s="35" t="n">
        <v>6695000</v>
      </c>
      <c r="F986" s="35" t="n">
        <v>0</v>
      </c>
      <c r="G986" s="35" t="n">
        <v>24894797</v>
      </c>
      <c r="H986" s="36" t="s">
        <v>224</v>
      </c>
    </row>
    <row r="987" customFormat="false" ht="17.15" hidden="false" customHeight="false" outlineLevel="0" collapsed="false">
      <c r="A987" s="30" t="s">
        <v>968</v>
      </c>
      <c r="B987" s="29" t="s">
        <v>1421</v>
      </c>
      <c r="C987" s="30" t="s">
        <v>990</v>
      </c>
      <c r="D987" s="30" t="s">
        <v>617</v>
      </c>
      <c r="E987" s="33" t="n">
        <v>0</v>
      </c>
      <c r="F987" s="33" t="n">
        <v>30000000</v>
      </c>
      <c r="G987" s="33" t="n">
        <v>31589797</v>
      </c>
      <c r="H987" s="34" t="s">
        <v>454</v>
      </c>
    </row>
    <row r="988" customFormat="false" ht="17.15" hidden="false" customHeight="false" outlineLevel="0" collapsed="false">
      <c r="A988" s="21" t="s">
        <v>968</v>
      </c>
      <c r="B988" s="15" t="s">
        <v>1422</v>
      </c>
      <c r="C988" s="15" t="s">
        <v>1062</v>
      </c>
      <c r="D988" s="21" t="s">
        <v>1009</v>
      </c>
      <c r="E988" s="35" t="n">
        <v>165000</v>
      </c>
      <c r="F988" s="35" t="n">
        <v>0</v>
      </c>
      <c r="G988" s="35" t="n">
        <v>1589797</v>
      </c>
      <c r="H988" s="36" t="s">
        <v>492</v>
      </c>
    </row>
    <row r="989" customFormat="false" ht="17.15" hidden="false" customHeight="false" outlineLevel="0" collapsed="false">
      <c r="A989" s="38" t="s">
        <v>968</v>
      </c>
      <c r="B989" s="39" t="s">
        <v>1423</v>
      </c>
      <c r="C989" s="38" t="s">
        <v>250</v>
      </c>
      <c r="D989" s="39" t="s">
        <v>1424</v>
      </c>
      <c r="E989" s="40" t="n">
        <v>3000000</v>
      </c>
      <c r="F989" s="40" t="n">
        <v>0</v>
      </c>
      <c r="G989" s="40" t="n">
        <v>1754797</v>
      </c>
      <c r="H989" s="41" t="s">
        <v>1113</v>
      </c>
    </row>
    <row r="990" customFormat="false" ht="17.15" hidden="false" customHeight="false" outlineLevel="0" collapsed="false">
      <c r="A990" s="21" t="s">
        <v>968</v>
      </c>
      <c r="B990" s="15" t="s">
        <v>1425</v>
      </c>
      <c r="C990" s="21" t="s">
        <v>990</v>
      </c>
      <c r="D990" s="21" t="s">
        <v>1187</v>
      </c>
      <c r="E990" s="35" t="n">
        <v>2006160</v>
      </c>
      <c r="F990" s="35" t="n">
        <v>0</v>
      </c>
      <c r="G990" s="35" t="n">
        <v>4754797</v>
      </c>
      <c r="H990" s="36" t="s">
        <v>224</v>
      </c>
    </row>
    <row r="991" customFormat="false" ht="17.15" hidden="false" customHeight="false" outlineLevel="0" collapsed="false">
      <c r="A991" s="21" t="s">
        <v>968</v>
      </c>
      <c r="B991" s="15" t="s">
        <v>1425</v>
      </c>
      <c r="C991" s="21" t="s">
        <v>990</v>
      </c>
      <c r="D991" s="21" t="s">
        <v>1188</v>
      </c>
      <c r="E991" s="35" t="n">
        <v>2021050</v>
      </c>
      <c r="F991" s="35" t="n">
        <v>0</v>
      </c>
      <c r="G991" s="35" t="n">
        <v>6760957</v>
      </c>
      <c r="H991" s="36" t="s">
        <v>224</v>
      </c>
    </row>
    <row r="992" customFormat="false" ht="17.15" hidden="false" customHeight="false" outlineLevel="0" collapsed="false">
      <c r="A992" s="21" t="s">
        <v>968</v>
      </c>
      <c r="B992" s="15" t="s">
        <v>1425</v>
      </c>
      <c r="C992" s="21" t="s">
        <v>990</v>
      </c>
      <c r="D992" s="21" t="s">
        <v>1179</v>
      </c>
      <c r="E992" s="35" t="n">
        <v>1842800</v>
      </c>
      <c r="F992" s="35" t="n">
        <v>0</v>
      </c>
      <c r="G992" s="35" t="n">
        <v>8782007</v>
      </c>
      <c r="H992" s="36" t="s">
        <v>224</v>
      </c>
    </row>
    <row r="993" customFormat="false" ht="17.15" hidden="false" customHeight="false" outlineLevel="0" collapsed="false">
      <c r="A993" s="21" t="s">
        <v>968</v>
      </c>
      <c r="B993" s="15" t="s">
        <v>1425</v>
      </c>
      <c r="C993" s="21" t="s">
        <v>990</v>
      </c>
      <c r="D993" s="21" t="s">
        <v>1189</v>
      </c>
      <c r="E993" s="35" t="n">
        <v>1827750</v>
      </c>
      <c r="F993" s="35" t="n">
        <v>0</v>
      </c>
      <c r="G993" s="35" t="n">
        <v>10624807</v>
      </c>
      <c r="H993" s="36" t="s">
        <v>224</v>
      </c>
    </row>
    <row r="994" customFormat="false" ht="17.15" hidden="false" customHeight="false" outlineLevel="0" collapsed="false">
      <c r="A994" s="21" t="s">
        <v>968</v>
      </c>
      <c r="B994" s="15" t="s">
        <v>1425</v>
      </c>
      <c r="C994" s="21" t="s">
        <v>990</v>
      </c>
      <c r="D994" s="21" t="s">
        <v>1190</v>
      </c>
      <c r="E994" s="35" t="n">
        <v>1916810</v>
      </c>
      <c r="F994" s="35" t="n">
        <v>0</v>
      </c>
      <c r="G994" s="35" t="n">
        <v>12452557</v>
      </c>
      <c r="H994" s="36" t="s">
        <v>224</v>
      </c>
    </row>
    <row r="995" customFormat="false" ht="17.15" hidden="false" customHeight="false" outlineLevel="0" collapsed="false">
      <c r="A995" s="21" t="s">
        <v>968</v>
      </c>
      <c r="B995" s="15" t="s">
        <v>1425</v>
      </c>
      <c r="C995" s="21" t="s">
        <v>990</v>
      </c>
      <c r="D995" s="21" t="s">
        <v>1180</v>
      </c>
      <c r="E995" s="35" t="n">
        <v>2252700</v>
      </c>
      <c r="F995" s="35" t="n">
        <v>0</v>
      </c>
      <c r="G995" s="35" t="n">
        <v>14369367</v>
      </c>
      <c r="H995" s="36" t="s">
        <v>224</v>
      </c>
    </row>
    <row r="996" customFormat="false" ht="17.15" hidden="false" customHeight="false" outlineLevel="0" collapsed="false">
      <c r="A996" s="21" t="s">
        <v>968</v>
      </c>
      <c r="B996" s="15" t="s">
        <v>1425</v>
      </c>
      <c r="C996" s="21" t="s">
        <v>990</v>
      </c>
      <c r="D996" s="21" t="s">
        <v>1182</v>
      </c>
      <c r="E996" s="35" t="n">
        <v>3221490</v>
      </c>
      <c r="F996" s="35" t="n">
        <v>0</v>
      </c>
      <c r="G996" s="35" t="n">
        <v>16622067</v>
      </c>
      <c r="H996" s="36" t="s">
        <v>224</v>
      </c>
    </row>
    <row r="997" customFormat="false" ht="17.15" hidden="false" customHeight="false" outlineLevel="0" collapsed="false">
      <c r="A997" s="21" t="s">
        <v>968</v>
      </c>
      <c r="B997" s="15" t="s">
        <v>1425</v>
      </c>
      <c r="C997" s="21" t="s">
        <v>990</v>
      </c>
      <c r="D997" s="21" t="s">
        <v>1183</v>
      </c>
      <c r="E997" s="35" t="n">
        <v>3646870</v>
      </c>
      <c r="F997" s="35" t="n">
        <v>0</v>
      </c>
      <c r="G997" s="35" t="n">
        <v>19843557</v>
      </c>
      <c r="H997" s="36" t="s">
        <v>224</v>
      </c>
    </row>
    <row r="998" customFormat="false" ht="17.15" hidden="false" customHeight="false" outlineLevel="0" collapsed="false">
      <c r="A998" s="21" t="s">
        <v>968</v>
      </c>
      <c r="B998" s="15" t="s">
        <v>1425</v>
      </c>
      <c r="C998" s="21" t="s">
        <v>990</v>
      </c>
      <c r="D998" s="21" t="s">
        <v>1184</v>
      </c>
      <c r="E998" s="35" t="n">
        <v>3578980</v>
      </c>
      <c r="F998" s="35" t="n">
        <v>0</v>
      </c>
      <c r="G998" s="35" t="n">
        <v>23490427</v>
      </c>
      <c r="H998" s="36" t="s">
        <v>224</v>
      </c>
    </row>
    <row r="999" customFormat="false" ht="17.15" hidden="false" customHeight="false" outlineLevel="0" collapsed="false">
      <c r="A999" s="21" t="s">
        <v>968</v>
      </c>
      <c r="B999" s="15" t="s">
        <v>1425</v>
      </c>
      <c r="C999" s="21" t="s">
        <v>990</v>
      </c>
      <c r="D999" s="21" t="s">
        <v>1185</v>
      </c>
      <c r="E999" s="35" t="n">
        <v>2930600</v>
      </c>
      <c r="F999" s="35" t="n">
        <v>0</v>
      </c>
      <c r="G999" s="35" t="n">
        <v>27069407</v>
      </c>
      <c r="H999" s="36" t="s">
        <v>224</v>
      </c>
    </row>
    <row r="1000" customFormat="false" ht="17.15" hidden="false" customHeight="false" outlineLevel="0" collapsed="false">
      <c r="A1000" s="30" t="s">
        <v>968</v>
      </c>
      <c r="B1000" s="29" t="s">
        <v>1426</v>
      </c>
      <c r="C1000" s="30" t="s">
        <v>990</v>
      </c>
      <c r="D1000" s="30" t="s">
        <v>617</v>
      </c>
      <c r="E1000" s="33" t="n">
        <v>0</v>
      </c>
      <c r="F1000" s="33" t="n">
        <v>30000000</v>
      </c>
      <c r="G1000" s="33" t="n">
        <v>30000007</v>
      </c>
      <c r="H1000" s="34" t="s">
        <v>454</v>
      </c>
    </row>
    <row r="1001" customFormat="false" ht="17.15" hidden="false" customHeight="false" outlineLevel="0" collapsed="false">
      <c r="A1001" s="21" t="s">
        <v>968</v>
      </c>
      <c r="B1001" s="15" t="s">
        <v>1427</v>
      </c>
      <c r="C1001" s="21" t="s">
        <v>1001</v>
      </c>
      <c r="D1001" s="15" t="s">
        <v>1409</v>
      </c>
      <c r="E1001" s="35" t="n">
        <v>720960</v>
      </c>
      <c r="F1001" s="35" t="n">
        <v>0</v>
      </c>
      <c r="G1001" s="35" t="n">
        <v>7</v>
      </c>
      <c r="H1001" s="36" t="s">
        <v>1003</v>
      </c>
    </row>
    <row r="1002" customFormat="false" ht="17.15" hidden="false" customHeight="false" outlineLevel="0" collapsed="false">
      <c r="A1002" s="21" t="s">
        <v>968</v>
      </c>
      <c r="B1002" s="15" t="s">
        <v>1428</v>
      </c>
      <c r="C1002" s="21" t="s">
        <v>1001</v>
      </c>
      <c r="D1002" s="15" t="s">
        <v>1429</v>
      </c>
      <c r="E1002" s="35" t="n">
        <v>2239240</v>
      </c>
      <c r="F1002" s="35" t="n">
        <v>0</v>
      </c>
      <c r="G1002" s="35" t="n">
        <v>720967</v>
      </c>
      <c r="H1002" s="36" t="s">
        <v>1003</v>
      </c>
    </row>
    <row r="1003" customFormat="false" ht="17.15" hidden="false" customHeight="false" outlineLevel="0" collapsed="false">
      <c r="A1003" s="21" t="s">
        <v>968</v>
      </c>
      <c r="B1003" s="15" t="s">
        <v>1430</v>
      </c>
      <c r="C1003" s="21" t="s">
        <v>1001</v>
      </c>
      <c r="D1003" s="15" t="s">
        <v>1431</v>
      </c>
      <c r="E1003" s="35" t="n">
        <v>361340</v>
      </c>
      <c r="F1003" s="35" t="n">
        <v>0</v>
      </c>
      <c r="G1003" s="35" t="n">
        <v>2960207</v>
      </c>
      <c r="H1003" s="36" t="s">
        <v>1003</v>
      </c>
    </row>
    <row r="1004" customFormat="false" ht="17.15" hidden="false" customHeight="false" outlineLevel="0" collapsed="false">
      <c r="A1004" s="21" t="s">
        <v>968</v>
      </c>
      <c r="B1004" s="15" t="s">
        <v>1432</v>
      </c>
      <c r="C1004" s="21" t="s">
        <v>1001</v>
      </c>
      <c r="D1004" s="15" t="s">
        <v>1433</v>
      </c>
      <c r="E1004" s="35" t="n">
        <v>326770</v>
      </c>
      <c r="F1004" s="35" t="n">
        <v>0</v>
      </c>
      <c r="G1004" s="35" t="n">
        <v>3321547</v>
      </c>
      <c r="H1004" s="36" t="s">
        <v>1003</v>
      </c>
    </row>
    <row r="1005" customFormat="false" ht="17.15" hidden="false" customHeight="false" outlineLevel="0" collapsed="false">
      <c r="A1005" s="21" t="s">
        <v>968</v>
      </c>
      <c r="B1005" s="15" t="s">
        <v>1434</v>
      </c>
      <c r="C1005" s="21" t="s">
        <v>1011</v>
      </c>
      <c r="D1005" s="15" t="s">
        <v>1435</v>
      </c>
      <c r="E1005" s="35" t="n">
        <v>5102040</v>
      </c>
      <c r="F1005" s="35" t="n">
        <v>0</v>
      </c>
      <c r="G1005" s="35" t="n">
        <v>3648317</v>
      </c>
      <c r="H1005" s="36" t="s">
        <v>1013</v>
      </c>
    </row>
    <row r="1006" customFormat="false" ht="17.15" hidden="false" customHeight="false" outlineLevel="0" collapsed="false">
      <c r="A1006" s="21" t="s">
        <v>968</v>
      </c>
      <c r="B1006" s="15" t="s">
        <v>1436</v>
      </c>
      <c r="C1006" s="21" t="s">
        <v>970</v>
      </c>
      <c r="D1006" s="15" t="s">
        <v>1437</v>
      </c>
      <c r="E1006" s="35" t="n">
        <v>138730</v>
      </c>
      <c r="F1006" s="35" t="n">
        <v>0</v>
      </c>
      <c r="G1006" s="35" t="n">
        <v>8750357</v>
      </c>
      <c r="H1006" s="36" t="s">
        <v>972</v>
      </c>
    </row>
    <row r="1007" customFormat="false" ht="17.15" hidden="false" customHeight="false" outlineLevel="0" collapsed="false">
      <c r="A1007" s="21" t="s">
        <v>968</v>
      </c>
      <c r="B1007" s="15" t="s">
        <v>1438</v>
      </c>
      <c r="C1007" s="21" t="s">
        <v>990</v>
      </c>
      <c r="D1007" s="21" t="s">
        <v>1439</v>
      </c>
      <c r="E1007" s="35" t="n">
        <v>1201200</v>
      </c>
      <c r="F1007" s="35" t="n">
        <v>0</v>
      </c>
      <c r="G1007" s="35" t="n">
        <v>8889087</v>
      </c>
      <c r="H1007" s="36" t="s">
        <v>141</v>
      </c>
    </row>
    <row r="1008" customFormat="false" ht="17.15" hidden="false" customHeight="false" outlineLevel="0" collapsed="false">
      <c r="A1008" s="30" t="s">
        <v>968</v>
      </c>
      <c r="B1008" s="29" t="s">
        <v>1440</v>
      </c>
      <c r="C1008" s="30" t="s">
        <v>990</v>
      </c>
      <c r="D1008" s="29" t="s">
        <v>1441</v>
      </c>
      <c r="E1008" s="33" t="n">
        <v>0</v>
      </c>
      <c r="F1008" s="33" t="n">
        <v>10000000</v>
      </c>
      <c r="G1008" s="33" t="n">
        <v>10090287</v>
      </c>
      <c r="H1008" s="34" t="s">
        <v>992</v>
      </c>
    </row>
    <row r="1009" customFormat="false" ht="17.15" hidden="false" customHeight="false" outlineLevel="0" collapsed="false">
      <c r="A1009" s="21" t="s">
        <v>968</v>
      </c>
      <c r="B1009" s="15" t="s">
        <v>1442</v>
      </c>
      <c r="C1009" s="21" t="s">
        <v>990</v>
      </c>
      <c r="D1009" s="21" t="s">
        <v>1443</v>
      </c>
      <c r="E1009" s="35" t="n">
        <v>119000</v>
      </c>
      <c r="F1009" s="35" t="n">
        <v>0</v>
      </c>
      <c r="G1009" s="35" t="n">
        <v>90287</v>
      </c>
      <c r="H1009" s="36" t="s">
        <v>149</v>
      </c>
    </row>
    <row r="1010" customFormat="false" ht="17.15" hidden="false" customHeight="false" outlineLevel="0" collapsed="false">
      <c r="A1010" s="21" t="s">
        <v>968</v>
      </c>
      <c r="B1010" s="15" t="s">
        <v>1442</v>
      </c>
      <c r="C1010" s="21" t="s">
        <v>990</v>
      </c>
      <c r="D1010" s="21" t="s">
        <v>1444</v>
      </c>
      <c r="E1010" s="35" t="n">
        <v>330000</v>
      </c>
      <c r="F1010" s="35" t="n">
        <v>0</v>
      </c>
      <c r="G1010" s="35" t="n">
        <v>209287</v>
      </c>
      <c r="H1010" s="36" t="s">
        <v>149</v>
      </c>
    </row>
    <row r="1011" customFormat="false" ht="17.15" hidden="false" customHeight="false" outlineLevel="0" collapsed="false">
      <c r="A1011" s="21" t="s">
        <v>968</v>
      </c>
      <c r="B1011" s="15" t="s">
        <v>1442</v>
      </c>
      <c r="C1011" s="21" t="s">
        <v>990</v>
      </c>
      <c r="D1011" s="21" t="s">
        <v>1148</v>
      </c>
      <c r="E1011" s="35" t="n">
        <v>96180</v>
      </c>
      <c r="F1011" s="35" t="n">
        <v>0</v>
      </c>
      <c r="G1011" s="35" t="n">
        <v>539287</v>
      </c>
      <c r="H1011" s="37" t="s">
        <v>176</v>
      </c>
    </row>
    <row r="1012" customFormat="false" ht="17.15" hidden="false" customHeight="false" outlineLevel="0" collapsed="false">
      <c r="A1012" s="21" t="s">
        <v>968</v>
      </c>
      <c r="B1012" s="15" t="s">
        <v>1442</v>
      </c>
      <c r="C1012" s="21" t="s">
        <v>990</v>
      </c>
      <c r="D1012" s="21" t="s">
        <v>1254</v>
      </c>
      <c r="E1012" s="35" t="n">
        <v>532400</v>
      </c>
      <c r="F1012" s="35" t="n">
        <v>0</v>
      </c>
      <c r="G1012" s="35" t="n">
        <v>635467</v>
      </c>
      <c r="H1012" s="36" t="s">
        <v>141</v>
      </c>
    </row>
    <row r="1013" customFormat="false" ht="17.15" hidden="false" customHeight="false" outlineLevel="0" collapsed="false">
      <c r="A1013" s="21" t="s">
        <v>968</v>
      </c>
      <c r="B1013" s="15" t="s">
        <v>1442</v>
      </c>
      <c r="C1013" s="21" t="s">
        <v>990</v>
      </c>
      <c r="D1013" s="21" t="s">
        <v>1203</v>
      </c>
      <c r="E1013" s="35" t="n">
        <v>2447225</v>
      </c>
      <c r="F1013" s="35" t="n">
        <v>0</v>
      </c>
      <c r="G1013" s="35" t="n">
        <v>1167867</v>
      </c>
      <c r="H1013" s="36" t="s">
        <v>141</v>
      </c>
    </row>
    <row r="1014" customFormat="false" ht="17.15" hidden="false" customHeight="false" outlineLevel="0" collapsed="false">
      <c r="A1014" s="21" t="s">
        <v>968</v>
      </c>
      <c r="B1014" s="15" t="s">
        <v>1442</v>
      </c>
      <c r="C1014" s="21" t="s">
        <v>990</v>
      </c>
      <c r="D1014" s="21" t="s">
        <v>1445</v>
      </c>
      <c r="E1014" s="35" t="n">
        <v>715000</v>
      </c>
      <c r="F1014" s="35" t="n">
        <v>0</v>
      </c>
      <c r="G1014" s="35" t="n">
        <v>3615092</v>
      </c>
      <c r="H1014" s="36" t="s">
        <v>141</v>
      </c>
    </row>
    <row r="1015" customFormat="false" ht="17.15" hidden="false" customHeight="false" outlineLevel="0" collapsed="false">
      <c r="A1015" s="21" t="s">
        <v>968</v>
      </c>
      <c r="B1015" s="15" t="s">
        <v>1442</v>
      </c>
      <c r="C1015" s="21" t="s">
        <v>990</v>
      </c>
      <c r="D1015" s="21" t="s">
        <v>1446</v>
      </c>
      <c r="E1015" s="35" t="n">
        <v>88000</v>
      </c>
      <c r="F1015" s="35" t="n">
        <v>0</v>
      </c>
      <c r="G1015" s="35" t="n">
        <v>4330092</v>
      </c>
      <c r="H1015" s="37" t="s">
        <v>176</v>
      </c>
    </row>
    <row r="1016" customFormat="false" ht="17.15" hidden="false" customHeight="false" outlineLevel="0" collapsed="false">
      <c r="A1016" s="21" t="s">
        <v>968</v>
      </c>
      <c r="B1016" s="15" t="s">
        <v>1442</v>
      </c>
      <c r="C1016" s="21" t="s">
        <v>990</v>
      </c>
      <c r="D1016" s="21" t="s">
        <v>1447</v>
      </c>
      <c r="E1016" s="35" t="n">
        <v>324500</v>
      </c>
      <c r="F1016" s="35" t="n">
        <v>0</v>
      </c>
      <c r="G1016" s="35" t="n">
        <v>4418092</v>
      </c>
      <c r="H1016" s="37" t="s">
        <v>176</v>
      </c>
    </row>
    <row r="1017" customFormat="false" ht="17.15" hidden="false" customHeight="false" outlineLevel="0" collapsed="false">
      <c r="A1017" s="21" t="s">
        <v>968</v>
      </c>
      <c r="B1017" s="15" t="s">
        <v>1442</v>
      </c>
      <c r="C1017" s="21" t="s">
        <v>990</v>
      </c>
      <c r="D1017" s="21" t="s">
        <v>1399</v>
      </c>
      <c r="E1017" s="35" t="n">
        <v>1366200</v>
      </c>
      <c r="F1017" s="35" t="n">
        <v>0</v>
      </c>
      <c r="G1017" s="35" t="n">
        <v>4742592</v>
      </c>
      <c r="H1017" s="37" t="s">
        <v>176</v>
      </c>
    </row>
    <row r="1018" customFormat="false" ht="17.15" hidden="false" customHeight="false" outlineLevel="0" collapsed="false">
      <c r="A1018" s="21" t="s">
        <v>968</v>
      </c>
      <c r="B1018" s="15" t="s">
        <v>1448</v>
      </c>
      <c r="C1018" s="21" t="s">
        <v>974</v>
      </c>
      <c r="D1018" s="21" t="s">
        <v>1089</v>
      </c>
      <c r="E1018" s="35" t="n">
        <v>33000</v>
      </c>
      <c r="F1018" s="35" t="n">
        <v>0</v>
      </c>
      <c r="G1018" s="35" t="n">
        <v>6108792</v>
      </c>
      <c r="H1018" s="37" t="s">
        <v>176</v>
      </c>
    </row>
    <row r="1019" customFormat="false" ht="17.15" hidden="false" customHeight="false" outlineLevel="0" collapsed="false">
      <c r="A1019" s="21" t="s">
        <v>968</v>
      </c>
      <c r="B1019" s="15" t="s">
        <v>1448</v>
      </c>
      <c r="C1019" s="21" t="s">
        <v>974</v>
      </c>
      <c r="D1019" s="21" t="s">
        <v>1090</v>
      </c>
      <c r="E1019" s="35" t="n">
        <v>264000</v>
      </c>
      <c r="F1019" s="35" t="n">
        <v>0</v>
      </c>
      <c r="G1019" s="35" t="n">
        <v>6141792</v>
      </c>
      <c r="H1019" s="37" t="s">
        <v>176</v>
      </c>
    </row>
    <row r="1020" customFormat="false" ht="17.15" hidden="false" customHeight="false" outlineLevel="0" collapsed="false">
      <c r="A1020" s="21" t="s">
        <v>968</v>
      </c>
      <c r="B1020" s="15" t="s">
        <v>1448</v>
      </c>
      <c r="C1020" s="21" t="s">
        <v>974</v>
      </c>
      <c r="D1020" s="21" t="s">
        <v>1091</v>
      </c>
      <c r="E1020" s="35" t="n">
        <v>110000</v>
      </c>
      <c r="F1020" s="35" t="n">
        <v>0</v>
      </c>
      <c r="G1020" s="35" t="n">
        <v>6405792</v>
      </c>
      <c r="H1020" s="37" t="s">
        <v>176</v>
      </c>
    </row>
    <row r="1021" customFormat="false" ht="17.15" hidden="false" customHeight="false" outlineLevel="0" collapsed="false">
      <c r="A1021" s="21" t="s">
        <v>968</v>
      </c>
      <c r="B1021" s="15" t="s">
        <v>1448</v>
      </c>
      <c r="C1021" s="21" t="s">
        <v>974</v>
      </c>
      <c r="D1021" s="21" t="s">
        <v>1092</v>
      </c>
      <c r="E1021" s="35" t="n">
        <v>110000</v>
      </c>
      <c r="F1021" s="35" t="n">
        <v>0</v>
      </c>
      <c r="G1021" s="35" t="n">
        <v>6515792</v>
      </c>
      <c r="H1021" s="37" t="s">
        <v>176</v>
      </c>
    </row>
    <row r="1022" customFormat="false" ht="15" hidden="false" customHeight="false" outlineLevel="0" collapsed="false">
      <c r="A1022" s="21" t="s">
        <v>968</v>
      </c>
      <c r="B1022" s="15" t="s">
        <v>1449</v>
      </c>
      <c r="C1022" s="21" t="s">
        <v>980</v>
      </c>
      <c r="D1022" s="15" t="s">
        <v>984</v>
      </c>
      <c r="E1022" s="35" t="n">
        <v>895246</v>
      </c>
      <c r="F1022" s="35" t="n">
        <v>0</v>
      </c>
      <c r="G1022" s="35" t="n">
        <v>6625792</v>
      </c>
      <c r="H1022" s="36" t="s">
        <v>198</v>
      </c>
    </row>
    <row r="1023" customFormat="false" ht="15" hidden="false" customHeight="false" outlineLevel="0" collapsed="false">
      <c r="A1023" s="21" t="s">
        <v>968</v>
      </c>
      <c r="B1023" s="15" t="s">
        <v>1449</v>
      </c>
      <c r="C1023" s="21" t="s">
        <v>980</v>
      </c>
      <c r="D1023" s="15" t="s">
        <v>985</v>
      </c>
      <c r="E1023" s="35" t="n">
        <v>760136</v>
      </c>
      <c r="F1023" s="35" t="n">
        <v>0</v>
      </c>
      <c r="G1023" s="35" t="n">
        <v>7521038</v>
      </c>
      <c r="H1023" s="36" t="s">
        <v>198</v>
      </c>
    </row>
    <row r="1024" customFormat="false" ht="15" hidden="false" customHeight="false" outlineLevel="0" collapsed="false">
      <c r="A1024" s="21" t="s">
        <v>968</v>
      </c>
      <c r="B1024" s="15" t="s">
        <v>1449</v>
      </c>
      <c r="C1024" s="21" t="s">
        <v>980</v>
      </c>
      <c r="D1024" s="15" t="s">
        <v>982</v>
      </c>
      <c r="E1024" s="35" t="n">
        <v>224903</v>
      </c>
      <c r="F1024" s="35" t="n">
        <v>0</v>
      </c>
      <c r="G1024" s="35" t="n">
        <v>8281174</v>
      </c>
      <c r="H1024" s="36" t="s">
        <v>198</v>
      </c>
    </row>
    <row r="1025" customFormat="false" ht="15" hidden="false" customHeight="false" outlineLevel="0" collapsed="false">
      <c r="A1025" s="21" t="s">
        <v>968</v>
      </c>
      <c r="B1025" s="15" t="s">
        <v>1449</v>
      </c>
      <c r="C1025" s="21" t="s">
        <v>980</v>
      </c>
      <c r="D1025" s="15" t="s">
        <v>981</v>
      </c>
      <c r="E1025" s="35" t="n">
        <v>1502268</v>
      </c>
      <c r="F1025" s="35" t="n">
        <v>0</v>
      </c>
      <c r="G1025" s="35" t="n">
        <v>8506077</v>
      </c>
      <c r="H1025" s="36" t="s">
        <v>198</v>
      </c>
    </row>
    <row r="1026" customFormat="false" ht="17.15" hidden="false" customHeight="false" outlineLevel="0" collapsed="false">
      <c r="A1026" s="30" t="s">
        <v>968</v>
      </c>
      <c r="B1026" s="29" t="s">
        <v>1449</v>
      </c>
      <c r="C1026" s="30" t="s">
        <v>990</v>
      </c>
      <c r="D1026" s="30" t="s">
        <v>617</v>
      </c>
      <c r="E1026" s="33" t="n">
        <v>0</v>
      </c>
      <c r="F1026" s="33" t="n">
        <v>10000000</v>
      </c>
      <c r="G1026" s="33" t="n">
        <v>10008345</v>
      </c>
      <c r="H1026" s="34" t="s">
        <v>454</v>
      </c>
    </row>
    <row r="1027" customFormat="false" ht="15" hidden="false" customHeight="false" outlineLevel="0" collapsed="false">
      <c r="A1027" s="21" t="s">
        <v>968</v>
      </c>
      <c r="B1027" s="15" t="s">
        <v>1450</v>
      </c>
      <c r="C1027" s="21" t="s">
        <v>980</v>
      </c>
      <c r="D1027" s="15" t="s">
        <v>982</v>
      </c>
      <c r="E1027" s="35" t="n">
        <v>65596</v>
      </c>
      <c r="F1027" s="35" t="n">
        <v>0</v>
      </c>
      <c r="G1027" s="35" t="n">
        <v>8345</v>
      </c>
      <c r="H1027" s="36" t="s">
        <v>198</v>
      </c>
    </row>
    <row r="1028" customFormat="false" ht="15" hidden="false" customHeight="false" outlineLevel="0" collapsed="false">
      <c r="A1028" s="21" t="s">
        <v>968</v>
      </c>
      <c r="B1028" s="15" t="s">
        <v>1450</v>
      </c>
      <c r="C1028" s="21" t="s">
        <v>980</v>
      </c>
      <c r="D1028" s="15" t="s">
        <v>981</v>
      </c>
      <c r="E1028" s="35" t="n">
        <v>4319021</v>
      </c>
      <c r="F1028" s="35" t="n">
        <v>0</v>
      </c>
      <c r="G1028" s="35" t="n">
        <v>73941</v>
      </c>
      <c r="H1028" s="36" t="s">
        <v>198</v>
      </c>
    </row>
    <row r="1029" customFormat="false" ht="15" hidden="false" customHeight="false" outlineLevel="0" collapsed="false">
      <c r="A1029" s="21" t="s">
        <v>968</v>
      </c>
      <c r="B1029" s="15" t="s">
        <v>1450</v>
      </c>
      <c r="C1029" s="21" t="s">
        <v>980</v>
      </c>
      <c r="D1029" s="15" t="s">
        <v>983</v>
      </c>
      <c r="E1029" s="35" t="n">
        <v>193666</v>
      </c>
      <c r="F1029" s="35" t="n">
        <v>0</v>
      </c>
      <c r="G1029" s="35" t="n">
        <v>4392962</v>
      </c>
      <c r="H1029" s="36" t="s">
        <v>198</v>
      </c>
    </row>
    <row r="1030" customFormat="false" ht="17.15" hidden="false" customHeight="false" outlineLevel="0" collapsed="false">
      <c r="A1030" s="21" t="s">
        <v>968</v>
      </c>
      <c r="B1030" s="15" t="s">
        <v>1451</v>
      </c>
      <c r="C1030" s="21" t="s">
        <v>990</v>
      </c>
      <c r="D1030" s="21" t="s">
        <v>1452</v>
      </c>
      <c r="E1030" s="35" t="n">
        <v>800</v>
      </c>
      <c r="F1030" s="35" t="n">
        <v>0</v>
      </c>
      <c r="G1030" s="35" t="n">
        <v>4586628</v>
      </c>
      <c r="H1030" s="36" t="s">
        <v>212</v>
      </c>
    </row>
    <row r="1031" customFormat="false" ht="17.15" hidden="false" customHeight="false" outlineLevel="0" collapsed="false">
      <c r="A1031" s="21" t="s">
        <v>968</v>
      </c>
      <c r="B1031" s="15" t="s">
        <v>1453</v>
      </c>
      <c r="C1031" s="21" t="s">
        <v>990</v>
      </c>
      <c r="D1031" s="21" t="s">
        <v>1454</v>
      </c>
      <c r="E1031" s="35" t="n">
        <v>288000</v>
      </c>
      <c r="F1031" s="35" t="n">
        <v>0</v>
      </c>
      <c r="G1031" s="35" t="n">
        <v>4587428</v>
      </c>
      <c r="H1031" s="36" t="s">
        <v>212</v>
      </c>
    </row>
    <row r="1032" customFormat="false" ht="17.15" hidden="false" customHeight="false" outlineLevel="0" collapsed="false">
      <c r="A1032" s="21" t="s">
        <v>968</v>
      </c>
      <c r="B1032" s="15" t="s">
        <v>1455</v>
      </c>
      <c r="C1032" s="15" t="s">
        <v>170</v>
      </c>
      <c r="D1032" s="21" t="s">
        <v>988</v>
      </c>
      <c r="E1032" s="35" t="n">
        <v>44000</v>
      </c>
      <c r="F1032" s="35" t="n">
        <v>0</v>
      </c>
      <c r="G1032" s="35" t="n">
        <v>4875428</v>
      </c>
      <c r="H1032" s="36" t="s">
        <v>494</v>
      </c>
    </row>
    <row r="1033" customFormat="false" ht="17.15" hidden="false" customHeight="false" outlineLevel="0" collapsed="false">
      <c r="A1033" s="30" t="s">
        <v>968</v>
      </c>
      <c r="B1033" s="29" t="s">
        <v>1456</v>
      </c>
      <c r="C1033" s="30" t="s">
        <v>88</v>
      </c>
      <c r="D1033" s="30" t="s">
        <v>89</v>
      </c>
      <c r="E1033" s="33" t="n">
        <v>0</v>
      </c>
      <c r="F1033" s="33" t="n">
        <v>10221</v>
      </c>
      <c r="G1033" s="33" t="n">
        <v>4919428</v>
      </c>
      <c r="H1033" s="34" t="s">
        <v>443</v>
      </c>
    </row>
    <row r="1034" customFormat="false" ht="17.15" hidden="false" customHeight="false" outlineLevel="0" collapsed="false">
      <c r="A1034" s="21" t="s">
        <v>968</v>
      </c>
      <c r="B1034" s="15" t="s">
        <v>1457</v>
      </c>
      <c r="C1034" s="15" t="s">
        <v>1062</v>
      </c>
      <c r="D1034" s="21" t="s">
        <v>995</v>
      </c>
      <c r="E1034" s="35" t="n">
        <v>2768728</v>
      </c>
      <c r="F1034" s="35" t="n">
        <v>0</v>
      </c>
      <c r="G1034" s="35" t="n">
        <v>4909207</v>
      </c>
      <c r="H1034" s="36" t="s">
        <v>184</v>
      </c>
    </row>
    <row r="1035" customFormat="false" ht="17.15" hidden="false" customHeight="false" outlineLevel="0" collapsed="false">
      <c r="A1035" s="38" t="s">
        <v>968</v>
      </c>
      <c r="B1035" s="39" t="s">
        <v>1458</v>
      </c>
      <c r="C1035" s="38" t="s">
        <v>250</v>
      </c>
      <c r="D1035" s="39" t="s">
        <v>1459</v>
      </c>
      <c r="E1035" s="40" t="n">
        <v>3000000</v>
      </c>
      <c r="F1035" s="40" t="n">
        <v>0</v>
      </c>
      <c r="G1035" s="40" t="n">
        <v>7677935</v>
      </c>
      <c r="H1035" s="41" t="s">
        <v>1113</v>
      </c>
    </row>
    <row r="1036" customFormat="false" ht="17.15" hidden="false" customHeight="false" outlineLevel="0" collapsed="false">
      <c r="A1036" s="21" t="s">
        <v>968</v>
      </c>
      <c r="B1036" s="15" t="s">
        <v>1460</v>
      </c>
      <c r="C1036" s="21" t="s">
        <v>1001</v>
      </c>
      <c r="D1036" s="15" t="s">
        <v>1461</v>
      </c>
      <c r="E1036" s="35" t="n">
        <v>3020440</v>
      </c>
      <c r="F1036" s="35" t="n">
        <v>0</v>
      </c>
      <c r="G1036" s="35" t="n">
        <v>10677935</v>
      </c>
      <c r="H1036" s="36" t="s">
        <v>1003</v>
      </c>
    </row>
    <row r="1037" customFormat="false" ht="17.15" hidden="false" customHeight="false" outlineLevel="0" collapsed="false">
      <c r="A1037" s="21" t="s">
        <v>968</v>
      </c>
      <c r="B1037" s="15" t="s">
        <v>1462</v>
      </c>
      <c r="C1037" s="21" t="s">
        <v>1001</v>
      </c>
      <c r="D1037" s="15" t="s">
        <v>1463</v>
      </c>
      <c r="E1037" s="35" t="n">
        <v>387080</v>
      </c>
      <c r="F1037" s="35" t="n">
        <v>0</v>
      </c>
      <c r="G1037" s="35" t="n">
        <v>13698375</v>
      </c>
      <c r="H1037" s="36" t="s">
        <v>1003</v>
      </c>
    </row>
    <row r="1038" customFormat="false" ht="17.15" hidden="false" customHeight="false" outlineLevel="0" collapsed="false">
      <c r="A1038" s="21" t="s">
        <v>968</v>
      </c>
      <c r="B1038" s="15" t="s">
        <v>1464</v>
      </c>
      <c r="C1038" s="21" t="s">
        <v>1001</v>
      </c>
      <c r="D1038" s="15" t="s">
        <v>1465</v>
      </c>
      <c r="E1038" s="35" t="n">
        <v>2239240</v>
      </c>
      <c r="F1038" s="35" t="n">
        <v>0</v>
      </c>
      <c r="G1038" s="35" t="n">
        <v>14085455</v>
      </c>
      <c r="H1038" s="36" t="s">
        <v>1003</v>
      </c>
    </row>
    <row r="1039" customFormat="false" ht="17.15" hidden="false" customHeight="false" outlineLevel="0" collapsed="false">
      <c r="A1039" s="21" t="s">
        <v>968</v>
      </c>
      <c r="B1039" s="15" t="s">
        <v>1464</v>
      </c>
      <c r="C1039" s="21" t="s">
        <v>1001</v>
      </c>
      <c r="D1039" s="15" t="s">
        <v>1466</v>
      </c>
      <c r="E1039" s="35" t="n">
        <v>331300</v>
      </c>
      <c r="F1039" s="35" t="n">
        <v>0</v>
      </c>
      <c r="G1039" s="35" t="n">
        <v>16324695</v>
      </c>
      <c r="H1039" s="36" t="s">
        <v>1003</v>
      </c>
    </row>
    <row r="1040" customFormat="false" ht="17.15" hidden="false" customHeight="false" outlineLevel="0" collapsed="false">
      <c r="A1040" s="21" t="s">
        <v>968</v>
      </c>
      <c r="B1040" s="15" t="s">
        <v>1467</v>
      </c>
      <c r="C1040" s="21" t="s">
        <v>990</v>
      </c>
      <c r="D1040" s="21" t="s">
        <v>1468</v>
      </c>
      <c r="E1040" s="35" t="n">
        <v>3303950</v>
      </c>
      <c r="F1040" s="35" t="n">
        <v>0</v>
      </c>
      <c r="G1040" s="35" t="n">
        <v>16655995</v>
      </c>
      <c r="H1040" s="36" t="s">
        <v>208</v>
      </c>
    </row>
    <row r="1041" customFormat="false" ht="17.15" hidden="false" customHeight="false" outlineLevel="0" collapsed="false">
      <c r="A1041" s="21" t="s">
        <v>968</v>
      </c>
      <c r="B1041" s="15" t="s">
        <v>1469</v>
      </c>
      <c r="C1041" s="21" t="s">
        <v>990</v>
      </c>
      <c r="D1041" s="21" t="s">
        <v>1470</v>
      </c>
      <c r="E1041" s="35" t="n">
        <v>2261770</v>
      </c>
      <c r="F1041" s="35" t="n">
        <v>0</v>
      </c>
      <c r="G1041" s="35" t="n">
        <v>19959945</v>
      </c>
      <c r="H1041" s="36" t="s">
        <v>224</v>
      </c>
    </row>
    <row r="1042" customFormat="false" ht="17.15" hidden="false" customHeight="false" outlineLevel="0" collapsed="false">
      <c r="A1042" s="21" t="s">
        <v>968</v>
      </c>
      <c r="B1042" s="15" t="s">
        <v>1469</v>
      </c>
      <c r="C1042" s="21" t="s">
        <v>990</v>
      </c>
      <c r="D1042" s="21" t="s">
        <v>1471</v>
      </c>
      <c r="E1042" s="35" t="n">
        <v>2246720</v>
      </c>
      <c r="F1042" s="35" t="n">
        <v>0</v>
      </c>
      <c r="G1042" s="35" t="n">
        <v>22221715</v>
      </c>
      <c r="H1042" s="36" t="s">
        <v>224</v>
      </c>
    </row>
    <row r="1043" customFormat="false" ht="17.15" hidden="false" customHeight="false" outlineLevel="0" collapsed="false">
      <c r="A1043" s="21" t="s">
        <v>968</v>
      </c>
      <c r="B1043" s="15" t="s">
        <v>1469</v>
      </c>
      <c r="C1043" s="21" t="s">
        <v>990</v>
      </c>
      <c r="D1043" s="21" t="s">
        <v>1472</v>
      </c>
      <c r="E1043" s="35" t="n">
        <v>2068470</v>
      </c>
      <c r="F1043" s="35" t="n">
        <v>0</v>
      </c>
      <c r="G1043" s="35" t="n">
        <v>24468435</v>
      </c>
      <c r="H1043" s="36" t="s">
        <v>224</v>
      </c>
    </row>
    <row r="1044" customFormat="false" ht="17.15" hidden="false" customHeight="false" outlineLevel="0" collapsed="false">
      <c r="A1044" s="21" t="s">
        <v>968</v>
      </c>
      <c r="B1044" s="15" t="s">
        <v>1469</v>
      </c>
      <c r="C1044" s="21" t="s">
        <v>990</v>
      </c>
      <c r="D1044" s="21" t="s">
        <v>1473</v>
      </c>
      <c r="E1044" s="35" t="n">
        <v>2068470</v>
      </c>
      <c r="F1044" s="35" t="n">
        <v>0</v>
      </c>
      <c r="G1044" s="35" t="n">
        <v>26536905</v>
      </c>
      <c r="H1044" s="36" t="s">
        <v>224</v>
      </c>
    </row>
    <row r="1045" customFormat="false" ht="17.15" hidden="false" customHeight="false" outlineLevel="0" collapsed="false">
      <c r="A1045" s="21" t="s">
        <v>968</v>
      </c>
      <c r="B1045" s="15" t="s">
        <v>1469</v>
      </c>
      <c r="C1045" s="21" t="s">
        <v>990</v>
      </c>
      <c r="D1045" s="21" t="s">
        <v>1126</v>
      </c>
      <c r="E1045" s="35" t="n">
        <v>2143660</v>
      </c>
      <c r="F1045" s="35" t="n">
        <v>0</v>
      </c>
      <c r="G1045" s="35" t="n">
        <v>28605375</v>
      </c>
      <c r="H1045" s="36" t="s">
        <v>224</v>
      </c>
    </row>
    <row r="1046" customFormat="false" ht="17.15" hidden="false" customHeight="false" outlineLevel="0" collapsed="false">
      <c r="A1046" s="21" t="s">
        <v>968</v>
      </c>
      <c r="B1046" s="15" t="s">
        <v>1469</v>
      </c>
      <c r="C1046" s="21" t="s">
        <v>990</v>
      </c>
      <c r="D1046" s="21" t="s">
        <v>1474</v>
      </c>
      <c r="E1046" s="35" t="n">
        <v>2147010</v>
      </c>
      <c r="F1046" s="35" t="n">
        <v>0</v>
      </c>
      <c r="G1046" s="35" t="n">
        <v>30749035</v>
      </c>
      <c r="H1046" s="36" t="s">
        <v>224</v>
      </c>
    </row>
    <row r="1047" customFormat="false" ht="17.15" hidden="false" customHeight="false" outlineLevel="0" collapsed="false">
      <c r="A1047" s="21" t="s">
        <v>968</v>
      </c>
      <c r="B1047" s="15" t="s">
        <v>1469</v>
      </c>
      <c r="C1047" s="21" t="s">
        <v>990</v>
      </c>
      <c r="D1047" s="21" t="s">
        <v>1127</v>
      </c>
      <c r="E1047" s="35" t="n">
        <v>2252700</v>
      </c>
      <c r="F1047" s="35" t="n">
        <v>0</v>
      </c>
      <c r="G1047" s="35" t="n">
        <v>32896045</v>
      </c>
      <c r="H1047" s="36" t="s">
        <v>224</v>
      </c>
    </row>
    <row r="1048" customFormat="false" ht="17.15" hidden="false" customHeight="false" outlineLevel="0" collapsed="false">
      <c r="A1048" s="21" t="s">
        <v>968</v>
      </c>
      <c r="B1048" s="15" t="s">
        <v>1469</v>
      </c>
      <c r="C1048" s="21" t="s">
        <v>990</v>
      </c>
      <c r="D1048" s="15" t="s">
        <v>1128</v>
      </c>
      <c r="E1048" s="35" t="n">
        <v>4273420</v>
      </c>
      <c r="F1048" s="35" t="n">
        <v>0</v>
      </c>
      <c r="G1048" s="35" t="n">
        <v>35148745</v>
      </c>
      <c r="H1048" s="36" t="s">
        <v>224</v>
      </c>
    </row>
    <row r="1049" customFormat="false" ht="17.15" hidden="false" customHeight="false" outlineLevel="0" collapsed="false">
      <c r="A1049" s="21" t="s">
        <v>968</v>
      </c>
      <c r="B1049" s="15" t="s">
        <v>1469</v>
      </c>
      <c r="C1049" s="21" t="s">
        <v>990</v>
      </c>
      <c r="D1049" s="21" t="s">
        <v>1129</v>
      </c>
      <c r="E1049" s="35" t="n">
        <v>3224020</v>
      </c>
      <c r="F1049" s="35" t="n">
        <v>0</v>
      </c>
      <c r="G1049" s="35" t="n">
        <v>39422165</v>
      </c>
      <c r="H1049" s="36" t="s">
        <v>224</v>
      </c>
    </row>
    <row r="1050" customFormat="false" ht="17.15" hidden="false" customHeight="false" outlineLevel="0" collapsed="false">
      <c r="A1050" s="21" t="s">
        <v>968</v>
      </c>
      <c r="B1050" s="15" t="s">
        <v>1469</v>
      </c>
      <c r="C1050" s="21" t="s">
        <v>990</v>
      </c>
      <c r="D1050" s="21" t="s">
        <v>1130</v>
      </c>
      <c r="E1050" s="35" t="n">
        <v>3646860</v>
      </c>
      <c r="F1050" s="35" t="n">
        <v>0</v>
      </c>
      <c r="G1050" s="35" t="n">
        <v>42646185</v>
      </c>
      <c r="H1050" s="36" t="s">
        <v>224</v>
      </c>
    </row>
    <row r="1051" customFormat="false" ht="17.15" hidden="false" customHeight="false" outlineLevel="0" collapsed="false">
      <c r="A1051" s="21" t="s">
        <v>968</v>
      </c>
      <c r="B1051" s="15" t="s">
        <v>1475</v>
      </c>
      <c r="C1051" s="21" t="s">
        <v>990</v>
      </c>
      <c r="D1051" s="21" t="s">
        <v>1131</v>
      </c>
      <c r="E1051" s="35" t="n">
        <v>3714940</v>
      </c>
      <c r="F1051" s="35" t="n">
        <v>0</v>
      </c>
      <c r="G1051" s="35" t="n">
        <v>46293045</v>
      </c>
      <c r="H1051" s="36" t="s">
        <v>224</v>
      </c>
    </row>
    <row r="1052" customFormat="false" ht="17.15" hidden="false" customHeight="false" outlineLevel="0" collapsed="false">
      <c r="A1052" s="21" t="s">
        <v>968</v>
      </c>
      <c r="B1052" s="15" t="s">
        <v>1475</v>
      </c>
      <c r="C1052" s="21" t="s">
        <v>990</v>
      </c>
      <c r="D1052" s="21" t="s">
        <v>1132</v>
      </c>
      <c r="E1052" s="35" t="n">
        <v>2930600</v>
      </c>
      <c r="F1052" s="35" t="n">
        <v>0</v>
      </c>
      <c r="G1052" s="35" t="n">
        <v>50007985</v>
      </c>
      <c r="H1052" s="36" t="s">
        <v>224</v>
      </c>
    </row>
    <row r="1053" customFormat="false" ht="17.15" hidden="false" customHeight="false" outlineLevel="0" collapsed="false">
      <c r="A1053" s="21" t="s">
        <v>968</v>
      </c>
      <c r="B1053" s="15" t="s">
        <v>1475</v>
      </c>
      <c r="C1053" s="21" t="s">
        <v>990</v>
      </c>
      <c r="D1053" s="21" t="s">
        <v>1222</v>
      </c>
      <c r="E1053" s="35" t="n">
        <v>6695000</v>
      </c>
      <c r="F1053" s="35" t="n">
        <v>0</v>
      </c>
      <c r="G1053" s="35" t="n">
        <v>52938585</v>
      </c>
      <c r="H1053" s="36" t="s">
        <v>224</v>
      </c>
    </row>
    <row r="1054" customFormat="false" ht="17.15" hidden="false" customHeight="false" outlineLevel="0" collapsed="false">
      <c r="A1054" s="30" t="s">
        <v>968</v>
      </c>
      <c r="B1054" s="29" t="s">
        <v>1476</v>
      </c>
      <c r="C1054" s="30" t="s">
        <v>990</v>
      </c>
      <c r="D1054" s="30" t="s">
        <v>1477</v>
      </c>
      <c r="E1054" s="33" t="n">
        <v>0</v>
      </c>
      <c r="F1054" s="33" t="n">
        <v>5789</v>
      </c>
      <c r="G1054" s="33" t="n">
        <v>59633585</v>
      </c>
      <c r="H1054" s="34" t="s">
        <v>132</v>
      </c>
    </row>
    <row r="1055" customFormat="false" ht="17.15" hidden="false" customHeight="false" outlineLevel="0" collapsed="false">
      <c r="A1055" s="30" t="s">
        <v>968</v>
      </c>
      <c r="B1055" s="29" t="s">
        <v>1478</v>
      </c>
      <c r="C1055" s="30" t="s">
        <v>990</v>
      </c>
      <c r="D1055" s="30" t="s">
        <v>1261</v>
      </c>
      <c r="E1055" s="33" t="n">
        <v>5600000</v>
      </c>
      <c r="F1055" s="33" t="n">
        <v>0</v>
      </c>
      <c r="G1055" s="33" t="n">
        <v>59627796</v>
      </c>
      <c r="H1055" s="34" t="s">
        <v>168</v>
      </c>
    </row>
    <row r="1056" customFormat="false" ht="17.15" hidden="false" customHeight="false" outlineLevel="0" collapsed="false">
      <c r="A1056" s="30" t="s">
        <v>968</v>
      </c>
      <c r="B1056" s="29" t="s">
        <v>1478</v>
      </c>
      <c r="C1056" s="30" t="s">
        <v>990</v>
      </c>
      <c r="D1056" s="30" t="s">
        <v>1479</v>
      </c>
      <c r="E1056" s="33" t="n">
        <v>27915450</v>
      </c>
      <c r="F1056" s="33" t="n">
        <v>0</v>
      </c>
      <c r="G1056" s="33" t="n">
        <v>65227796</v>
      </c>
      <c r="H1056" s="34" t="s">
        <v>168</v>
      </c>
    </row>
    <row r="1057" customFormat="false" ht="17.15" hidden="false" customHeight="false" outlineLevel="0" collapsed="false">
      <c r="A1057" s="21" t="s">
        <v>968</v>
      </c>
      <c r="B1057" s="15" t="s">
        <v>1480</v>
      </c>
      <c r="C1057" s="21" t="s">
        <v>1011</v>
      </c>
      <c r="D1057" s="15" t="s">
        <v>1481</v>
      </c>
      <c r="E1057" s="35" t="n">
        <v>5775070</v>
      </c>
      <c r="F1057" s="35" t="n">
        <v>0</v>
      </c>
      <c r="G1057" s="35" t="n">
        <v>93143246</v>
      </c>
      <c r="H1057" s="36" t="s">
        <v>1013</v>
      </c>
    </row>
    <row r="1058" customFormat="false" ht="17.15" hidden="false" customHeight="false" outlineLevel="0" collapsed="false">
      <c r="A1058" s="30" t="s">
        <v>968</v>
      </c>
      <c r="B1058" s="29" t="s">
        <v>1482</v>
      </c>
      <c r="C1058" s="30" t="s">
        <v>1375</v>
      </c>
      <c r="D1058" s="30" t="s">
        <v>1376</v>
      </c>
      <c r="E1058" s="33" t="n">
        <v>0</v>
      </c>
      <c r="F1058" s="33" t="n">
        <v>50224974</v>
      </c>
      <c r="G1058" s="33" t="n">
        <v>98918316</v>
      </c>
      <c r="H1058" s="34" t="s">
        <v>1212</v>
      </c>
    </row>
    <row r="1059" customFormat="false" ht="17.15" hidden="false" customHeight="false" outlineLevel="0" collapsed="false">
      <c r="A1059" s="21" t="s">
        <v>968</v>
      </c>
      <c r="B1059" s="15" t="s">
        <v>1483</v>
      </c>
      <c r="C1059" s="21" t="s">
        <v>990</v>
      </c>
      <c r="D1059" s="21" t="s">
        <v>1484</v>
      </c>
      <c r="E1059" s="35" t="n">
        <v>78000</v>
      </c>
      <c r="F1059" s="35" t="n">
        <v>0</v>
      </c>
      <c r="G1059" s="35" t="n">
        <v>48693342</v>
      </c>
      <c r="H1059" s="36" t="s">
        <v>494</v>
      </c>
    </row>
    <row r="1060" customFormat="false" ht="17.15" hidden="false" customHeight="false" outlineLevel="0" collapsed="false">
      <c r="A1060" s="21" t="s">
        <v>968</v>
      </c>
      <c r="B1060" s="15" t="s">
        <v>1483</v>
      </c>
      <c r="C1060" s="21" t="s">
        <v>990</v>
      </c>
      <c r="D1060" s="21" t="s">
        <v>1485</v>
      </c>
      <c r="E1060" s="35" t="n">
        <v>660000</v>
      </c>
      <c r="F1060" s="35" t="n">
        <v>0</v>
      </c>
      <c r="G1060" s="35" t="n">
        <v>48771342</v>
      </c>
      <c r="H1060" s="36" t="s">
        <v>494</v>
      </c>
    </row>
    <row r="1061" customFormat="false" ht="17.15" hidden="false" customHeight="false" outlineLevel="0" collapsed="false">
      <c r="A1061" s="30" t="s">
        <v>968</v>
      </c>
      <c r="B1061" s="29" t="s">
        <v>1486</v>
      </c>
      <c r="C1061" s="30" t="s">
        <v>1375</v>
      </c>
      <c r="D1061" s="30" t="s">
        <v>1376</v>
      </c>
      <c r="E1061" s="33" t="n">
        <v>0</v>
      </c>
      <c r="F1061" s="33" t="n">
        <v>41604232</v>
      </c>
      <c r="G1061" s="33" t="n">
        <v>49431342</v>
      </c>
      <c r="H1061" s="34" t="s">
        <v>1212</v>
      </c>
    </row>
    <row r="1062" customFormat="false" ht="17.15" hidden="false" customHeight="false" outlineLevel="0" collapsed="false">
      <c r="A1062" s="21" t="s">
        <v>968</v>
      </c>
      <c r="B1062" s="15" t="s">
        <v>1487</v>
      </c>
      <c r="C1062" s="21" t="s">
        <v>970</v>
      </c>
      <c r="D1062" s="15" t="s">
        <v>1488</v>
      </c>
      <c r="E1062" s="35" t="n">
        <v>135340</v>
      </c>
      <c r="F1062" s="35" t="n">
        <v>0</v>
      </c>
      <c r="G1062" s="35" t="n">
        <v>7827110</v>
      </c>
      <c r="H1062" s="36" t="s">
        <v>972</v>
      </c>
    </row>
    <row r="1063" customFormat="false" ht="17.15" hidden="false" customHeight="false" outlineLevel="0" collapsed="false">
      <c r="A1063" s="21" t="s">
        <v>968</v>
      </c>
      <c r="B1063" s="15" t="s">
        <v>1489</v>
      </c>
      <c r="C1063" s="15" t="s">
        <v>1104</v>
      </c>
      <c r="D1063" s="21" t="s">
        <v>1490</v>
      </c>
      <c r="E1063" s="35" t="n">
        <v>12500</v>
      </c>
      <c r="F1063" s="35" t="n">
        <v>0</v>
      </c>
      <c r="G1063" s="35" t="n">
        <v>7962450</v>
      </c>
      <c r="H1063" s="36" t="s">
        <v>219</v>
      </c>
    </row>
    <row r="1064" customFormat="false" ht="17.15" hidden="false" customHeight="false" outlineLevel="0" collapsed="false">
      <c r="A1064" s="21" t="s">
        <v>968</v>
      </c>
      <c r="B1064" s="15" t="s">
        <v>1489</v>
      </c>
      <c r="C1064" s="15" t="s">
        <v>1104</v>
      </c>
      <c r="D1064" s="21" t="s">
        <v>914</v>
      </c>
      <c r="E1064" s="35" t="n">
        <v>581250</v>
      </c>
      <c r="F1064" s="35" t="n">
        <v>0</v>
      </c>
      <c r="G1064" s="35" t="n">
        <v>7974950</v>
      </c>
      <c r="H1064" s="36" t="s">
        <v>219</v>
      </c>
    </row>
    <row r="1065" customFormat="false" ht="17.15" hidden="false" customHeight="false" outlineLevel="0" collapsed="false">
      <c r="A1065" s="21" t="s">
        <v>968</v>
      </c>
      <c r="B1065" s="15" t="s">
        <v>1491</v>
      </c>
      <c r="C1065" s="21" t="s">
        <v>974</v>
      </c>
      <c r="D1065" s="21" t="s">
        <v>1089</v>
      </c>
      <c r="E1065" s="35" t="n">
        <v>33000</v>
      </c>
      <c r="F1065" s="35" t="n">
        <v>0</v>
      </c>
      <c r="G1065" s="35" t="n">
        <v>8556200</v>
      </c>
      <c r="H1065" s="37" t="s">
        <v>176</v>
      </c>
    </row>
    <row r="1066" customFormat="false" ht="17.15" hidden="false" customHeight="false" outlineLevel="0" collapsed="false">
      <c r="A1066" s="21" t="s">
        <v>968</v>
      </c>
      <c r="B1066" s="15" t="s">
        <v>1492</v>
      </c>
      <c r="C1066" s="21" t="s">
        <v>974</v>
      </c>
      <c r="D1066" s="21" t="s">
        <v>1090</v>
      </c>
      <c r="E1066" s="35" t="n">
        <v>264000</v>
      </c>
      <c r="F1066" s="35" t="n">
        <v>0</v>
      </c>
      <c r="G1066" s="35" t="n">
        <v>8589200</v>
      </c>
      <c r="H1066" s="37" t="s">
        <v>176</v>
      </c>
    </row>
    <row r="1067" customFormat="false" ht="17.15" hidden="false" customHeight="false" outlineLevel="0" collapsed="false">
      <c r="A1067" s="21" t="s">
        <v>968</v>
      </c>
      <c r="B1067" s="15" t="s">
        <v>1492</v>
      </c>
      <c r="C1067" s="21" t="s">
        <v>974</v>
      </c>
      <c r="D1067" s="21" t="s">
        <v>1091</v>
      </c>
      <c r="E1067" s="35" t="n">
        <v>110000</v>
      </c>
      <c r="F1067" s="35" t="n">
        <v>0</v>
      </c>
      <c r="G1067" s="35" t="n">
        <v>8853200</v>
      </c>
      <c r="H1067" s="37" t="s">
        <v>176</v>
      </c>
    </row>
    <row r="1068" customFormat="false" ht="17.15" hidden="false" customHeight="false" outlineLevel="0" collapsed="false">
      <c r="A1068" s="21" t="s">
        <v>968</v>
      </c>
      <c r="B1068" s="15" t="s">
        <v>1492</v>
      </c>
      <c r="C1068" s="21" t="s">
        <v>974</v>
      </c>
      <c r="D1068" s="21" t="s">
        <v>1092</v>
      </c>
      <c r="E1068" s="35" t="n">
        <v>110000</v>
      </c>
      <c r="F1068" s="35" t="n">
        <v>0</v>
      </c>
      <c r="G1068" s="35" t="n">
        <v>8963200</v>
      </c>
      <c r="H1068" s="37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5"/>
  </cols>
  <sheetData>
    <row r="1" customFormat="false" ht="21.6" hidden="false" customHeight="false" outlineLevel="0" collapsed="false">
      <c r="A1" s="32" t="s">
        <v>1493</v>
      </c>
    </row>
    <row r="2" customFormat="false" ht="15" hidden="false" customHeight="false" outlineLevel="0" collapsed="false">
      <c r="A2" s="2" t="s">
        <v>1494</v>
      </c>
    </row>
    <row r="4" customFormat="false" ht="17.15" hidden="false" customHeight="false" outlineLevel="0" collapsed="false">
      <c r="A4" s="14" t="s">
        <v>1495</v>
      </c>
      <c r="B4" s="14" t="s">
        <v>46</v>
      </c>
    </row>
    <row r="5" customFormat="false" ht="17.15" hidden="false" customHeight="false" outlineLevel="0" collapsed="false">
      <c r="A5" s="21" t="s">
        <v>1496</v>
      </c>
      <c r="B5" s="16" t="n">
        <f aca="false">SUMIF(비용_거래내역!$H$5:$H$1068,A5,비용_거래내역!$E$5:$E$1068)</f>
        <v>423859400</v>
      </c>
    </row>
    <row r="6" customFormat="false" ht="15" hidden="false" customHeight="false" outlineLevel="0" collapsed="false">
      <c r="A6" s="21" t="s">
        <v>198</v>
      </c>
      <c r="B6" s="16" t="n">
        <f aca="false">SUMIF(비용_거래내역!$H$5:$H$1068,A6,비용_거래내역!$E$5:$E$1068)</f>
        <v>88110056</v>
      </c>
    </row>
    <row r="7" customFormat="false" ht="17.15" hidden="false" customHeight="false" outlineLevel="0" collapsed="false">
      <c r="A7" s="21" t="s">
        <v>1497</v>
      </c>
      <c r="B7" s="16" t="n">
        <f aca="false">SUMIF(비용_거래내역!$H$5:$H$1068,A7,비용_거래내역!$E$5:$E$1068)</f>
        <v>73057160</v>
      </c>
    </row>
    <row r="8" customFormat="false" ht="17.15" hidden="false" customHeight="false" outlineLevel="0" collapsed="false">
      <c r="A8" s="21" t="s">
        <v>1498</v>
      </c>
      <c r="B8" s="16" t="n">
        <f aca="false">SUMIF(비용_거래내역!$H$5:$H$1068,A8,비용_거래내역!$E$5:$E$1068)</f>
        <v>64929770</v>
      </c>
    </row>
    <row r="9" customFormat="false" ht="15" hidden="false" customHeight="false" outlineLevel="0" collapsed="false">
      <c r="A9" s="21" t="s">
        <v>184</v>
      </c>
      <c r="B9" s="16" t="n">
        <f aca="false">SUMIF(비용_거래내역!$H$5:$H$1068,A9,비용_거래내역!$E$5:$E$1068)</f>
        <v>60680954</v>
      </c>
    </row>
    <row r="10" customFormat="false" ht="17.15" hidden="false" customHeight="false" outlineLevel="0" collapsed="false">
      <c r="A10" s="21" t="s">
        <v>1499</v>
      </c>
      <c r="B10" s="16" t="n">
        <f aca="false">SUMIF(비용_거래내역!$H$5:$H$1068,A10,비용_거래내역!$E$5:$E$1068)</f>
        <v>31979346</v>
      </c>
    </row>
    <row r="11" customFormat="false" ht="17.15" hidden="false" customHeight="false" outlineLevel="0" collapsed="false">
      <c r="A11" s="21" t="s">
        <v>1500</v>
      </c>
      <c r="B11" s="16" t="n">
        <f aca="false">SUMIF(비용_거래내역!$H$5:$H$1068,A11,비용_거래내역!$E$5:$E$1068)</f>
        <v>29284630</v>
      </c>
    </row>
    <row r="12" customFormat="false" ht="17.15" hidden="false" customHeight="false" outlineLevel="0" collapsed="false">
      <c r="A12" s="21" t="s">
        <v>1501</v>
      </c>
      <c r="B12" s="16" t="n">
        <f aca="false">SUMIF(비용_거래내역!$H$5:$H$1068,A12,비용_거래내역!$E$5:$E$1068)</f>
        <v>27783843</v>
      </c>
    </row>
    <row r="13" customFormat="false" ht="15" hidden="false" customHeight="false" outlineLevel="0" collapsed="false">
      <c r="A13" s="21" t="s">
        <v>219</v>
      </c>
      <c r="B13" s="16" t="n">
        <f aca="false">SUMIF(비용_거래내역!$H$5:$H$1068,A13,비용_거래내역!$E$5:$E$1068)</f>
        <v>14013820</v>
      </c>
    </row>
    <row r="14" customFormat="false" ht="17.15" hidden="false" customHeight="false" outlineLevel="0" collapsed="false">
      <c r="A14" s="21" t="s">
        <v>1502</v>
      </c>
      <c r="B14" s="16" t="n">
        <f aca="false">SUMIF(비용_거래내역!$H$5:$H$1068,A14,비용_거래내역!$E$5:$E$1068)</f>
        <v>10447200</v>
      </c>
    </row>
    <row r="15" customFormat="false" ht="17.15" hidden="false" customHeight="false" outlineLevel="0" collapsed="false">
      <c r="A15" s="21" t="s">
        <v>1503</v>
      </c>
      <c r="B15" s="16" t="n">
        <f aca="false">SUMIF(비용_거래내역!$H$5:$H$1068,A15,비용_거래내역!$E$5:$E$1068)</f>
        <v>10133730</v>
      </c>
    </row>
    <row r="16" customFormat="false" ht="17.15" hidden="false" customHeight="false" outlineLevel="0" collapsed="false">
      <c r="A16" s="21" t="s">
        <v>1504</v>
      </c>
      <c r="B16" s="16" t="n">
        <f aca="false">SUMIF(비용_거래내역!$H$5:$H$1068,A16,비용_거래내역!$E$5:$E$1068)</f>
        <v>6624596</v>
      </c>
    </row>
    <row r="17" customFormat="false" ht="17.15" hidden="false" customHeight="false" outlineLevel="0" collapsed="false">
      <c r="A17" s="21" t="s">
        <v>1505</v>
      </c>
      <c r="B17" s="16" t="n">
        <f aca="false">SUMIF(비용_거래내역!$H$5:$H$1068,A17,비용_거래내역!$E$5:$E$1068)</f>
        <v>3795000</v>
      </c>
    </row>
    <row r="18" customFormat="false" ht="17.15" hidden="false" customHeight="false" outlineLevel="0" collapsed="false">
      <c r="A18" s="21" t="s">
        <v>1506</v>
      </c>
      <c r="B18" s="16" t="n">
        <f aca="false">SUMIF(비용_거래내역!$H$5:$H$1068,A18,비용_거래내역!$E$5:$E$1068)</f>
        <v>3200000</v>
      </c>
    </row>
    <row r="19" customFormat="false" ht="17.15" hidden="false" customHeight="false" outlineLevel="0" collapsed="false">
      <c r="A19" s="21" t="s">
        <v>1507</v>
      </c>
      <c r="B19" s="16" t="n">
        <f aca="false">SUMIF(비용_거래내역!$H$5:$H$1068,A19,비용_거래내역!$E$5:$E$1068)</f>
        <v>3196050</v>
      </c>
    </row>
    <row r="20" customFormat="false" ht="17.15" hidden="false" customHeight="false" outlineLevel="0" collapsed="false">
      <c r="A20" s="21" t="s">
        <v>1508</v>
      </c>
      <c r="B20" s="16" t="n">
        <f aca="false">SUMIF(비용_거래내역!$H$5:$H$1068,A20,비용_거래내역!$E$5:$E$1068)</f>
        <v>3053400</v>
      </c>
    </row>
    <row r="21" customFormat="false" ht="17.15" hidden="false" customHeight="false" outlineLevel="0" collapsed="false">
      <c r="A21" s="21" t="s">
        <v>1509</v>
      </c>
      <c r="B21" s="16" t="n">
        <f aca="false">SUMIF(비용_거래내역!$H$5:$H$1068,A21,비용_거래내역!$E$5:$E$1068)</f>
        <v>3000000</v>
      </c>
    </row>
    <row r="22" customFormat="false" ht="15" hidden="false" customHeight="false" outlineLevel="0" collapsed="false">
      <c r="A22" s="21" t="s">
        <v>165</v>
      </c>
      <c r="B22" s="16" t="n">
        <f aca="false">SUMIF(비용_거래내역!$H$5:$H$1068,A22,비용_거래내역!$E$5:$E$1068)</f>
        <v>2491780</v>
      </c>
    </row>
    <row r="23" customFormat="false" ht="17.15" hidden="false" customHeight="false" outlineLevel="0" collapsed="false">
      <c r="A23" s="21" t="s">
        <v>1510</v>
      </c>
      <c r="B23" s="16" t="n">
        <f aca="false">SUMIF(비용_거래내역!$H$5:$H$1068,A23,비용_거래내역!$E$5:$E$1068)</f>
        <v>2363620</v>
      </c>
    </row>
    <row r="24" customFormat="false" ht="17.15" hidden="false" customHeight="false" outlineLevel="0" collapsed="false">
      <c r="A24" s="21" t="s">
        <v>1511</v>
      </c>
      <c r="B24" s="16" t="n">
        <f aca="false">SUMIF(비용_거래내역!$H$5:$H$1068,A24,비용_거래내역!$E$5:$E$1068)</f>
        <v>2200000</v>
      </c>
    </row>
    <row r="25" customFormat="false" ht="17.15" hidden="false" customHeight="false" outlineLevel="0" collapsed="false">
      <c r="A25" s="21" t="s">
        <v>1512</v>
      </c>
      <c r="B25" s="16" t="n">
        <f aca="false">SUMIF(비용_거래내역!$H$5:$H$1068,A25,비용_거래내역!$E$5:$E$1068)</f>
        <v>1490295</v>
      </c>
    </row>
    <row r="26" customFormat="false" ht="17.15" hidden="false" customHeight="false" outlineLevel="0" collapsed="false">
      <c r="A26" s="21" t="s">
        <v>1513</v>
      </c>
      <c r="B26" s="16" t="n">
        <f aca="false">SUMIF(비용_거래내역!$H$5:$H$1068,A26,비용_거래내역!$E$5:$E$1068)</f>
        <v>1371190</v>
      </c>
    </row>
    <row r="27" customFormat="false" ht="17.15" hidden="false" customHeight="false" outlineLevel="0" collapsed="false">
      <c r="A27" s="21" t="s">
        <v>1514</v>
      </c>
      <c r="B27" s="16" t="n">
        <f aca="false">SUMIF(비용_거래내역!$H$5:$H$1068,A27,비용_거래내역!$E$5:$E$1068)</f>
        <v>910770</v>
      </c>
    </row>
    <row r="28" customFormat="false" ht="17.15" hidden="false" customHeight="false" outlineLevel="0" collapsed="false">
      <c r="A28" s="21" t="s">
        <v>1515</v>
      </c>
      <c r="B28" s="16" t="n">
        <f aca="false">SUMIF(비용_거래내역!$H$5:$H$1068,A28,비용_거래내역!$E$5:$E$1068)</f>
        <v>600000</v>
      </c>
    </row>
    <row r="29" customFormat="false" ht="17.15" hidden="false" customHeight="false" outlineLevel="0" collapsed="false">
      <c r="A29" s="21" t="s">
        <v>1516</v>
      </c>
      <c r="B29" s="16" t="n">
        <f aca="false">SUMIF(비용_거래내역!$H$5:$H$1068,A29,비용_거래내역!$E$5:$E$1068)</f>
        <v>321570</v>
      </c>
    </row>
    <row r="30" customFormat="false" ht="17.15" hidden="false" customHeight="false" outlineLevel="0" collapsed="false">
      <c r="A30" s="21" t="s">
        <v>1517</v>
      </c>
      <c r="B30" s="16" t="n">
        <f aca="false">SUMIF(비용_거래내역!$H$5:$H$1068,A30,비용_거래내역!$E$5:$E$1068)</f>
        <v>24040</v>
      </c>
    </row>
    <row r="31" customFormat="false" ht="17.15" hidden="false" customHeight="false" outlineLevel="0" collapsed="false">
      <c r="A31" s="21" t="s">
        <v>1518</v>
      </c>
      <c r="B31" s="16" t="n">
        <f aca="false">SUMIF(비용_거래내역!$H$5:$H$1068,A31,비용_거래내역!$E$5:$E$1068)</f>
        <v>15000</v>
      </c>
    </row>
    <row r="32" customFormat="false" ht="17.15" hidden="false" customHeight="false" outlineLevel="0" collapsed="false">
      <c r="A32" s="21" t="s">
        <v>1519</v>
      </c>
      <c r="B32" s="16" t="n">
        <f aca="false">SUMIF(비용_거래내역!$H$5:$H$1068,A32,비용_거래내역!$E$5:$E$1068)</f>
        <v>13750</v>
      </c>
    </row>
    <row r="33" customFormat="false" ht="17.15" hidden="false" customHeight="false" outlineLevel="0" collapsed="false">
      <c r="A33" s="42" t="s">
        <v>1520</v>
      </c>
      <c r="B33" s="27" t="n">
        <f aca="false">SUMIF(비용_거래내역!$H$5:$H$1068,A33,비용_거래내역!$E$5:$E$1068)</f>
        <v>27215210</v>
      </c>
    </row>
    <row r="34" customFormat="false" ht="17.15" hidden="false" customHeight="false" outlineLevel="0" collapsed="false">
      <c r="A34" s="17" t="s">
        <v>1521</v>
      </c>
      <c r="B34" s="18" t="n">
        <f aca="false">SUM(B5:B33)</f>
        <v>896166180</v>
      </c>
    </row>
    <row r="36" customFormat="false" ht="17.15" hidden="false" customHeight="false" outlineLevel="0" collapsed="false">
      <c r="A36" s="6" t="s">
        <v>1522</v>
      </c>
    </row>
    <row r="37" customFormat="false" ht="15" hidden="false" customHeight="false" outlineLevel="0" collapsed="false">
      <c r="A37" s="43" t="s">
        <v>1523</v>
      </c>
      <c r="B37" s="43" t="s">
        <v>126</v>
      </c>
      <c r="C37" s="43" t="s">
        <v>82</v>
      </c>
    </row>
    <row r="38" customFormat="false" ht="15" hidden="false" customHeight="false" outlineLevel="0" collapsed="false">
      <c r="A38" s="2" t="s">
        <v>1524</v>
      </c>
      <c r="B38" s="8" t="n">
        <f aca="false">SUMIF(비용_거래내역!$H$5:$H$1068,"설비투자(CAPEX)-비용아님",비용_거래내역!$E$5:$E$1068)</f>
        <v>130530450</v>
      </c>
      <c r="C38" s="8" t="n">
        <f aca="false">SUMIF(비용_거래내역!$H$5:$H$1068,"설비투자(CAPEX)-비용아님",비용_거래내역!$F$5:$F$1068)</f>
        <v>0</v>
      </c>
    </row>
    <row r="39" customFormat="false" ht="15" hidden="false" customHeight="false" outlineLevel="0" collapsed="false">
      <c r="A39" s="2" t="s">
        <v>1525</v>
      </c>
      <c r="B39" s="8" t="n">
        <f aca="false">SUMIF(비용_거래내역!$H$5:$H$1068,"제외-매출채권 회수(수금)",비용_거래내역!$E$5:$E$1068)</f>
        <v>0</v>
      </c>
      <c r="C39" s="8" t="n">
        <f aca="false">SUMIF(비용_거래내역!$H$5:$H$1068,"제외-매출채권 회수(수금)",비용_거래내역!$F$5:$F$1068)</f>
        <v>746320800</v>
      </c>
    </row>
    <row r="40" customFormat="false" ht="15" hidden="false" customHeight="false" outlineLevel="0" collapsed="false">
      <c r="A40" s="2" t="s">
        <v>1526</v>
      </c>
      <c r="B40" s="8" t="n">
        <f aca="false">SUMIF(비용_거래내역!$H$5:$H$1068,"제외-계좌간 자금이체(남은우 경유)",비용_거래내역!$E$5:$E$1068)</f>
        <v>405000000</v>
      </c>
      <c r="C40" s="8" t="n">
        <f aca="false">SUMIF(비용_거래내역!$H$5:$H$1068,"제외-계좌간 자금이체(남은우 경유)",비용_거래내역!$F$5:$F$1068)</f>
        <v>400000000</v>
      </c>
    </row>
    <row r="41" customFormat="false" ht="15" hidden="false" customHeight="false" outlineLevel="0" collapsed="false">
      <c r="A41" s="2" t="s">
        <v>1527</v>
      </c>
      <c r="B41" s="8" t="n">
        <f aca="false">SUMIF(비용_거래내역!$H$5:$H$1068,"제외-계좌간 자금이체",비용_거래내역!$E$5:$E$1068)</f>
        <v>0</v>
      </c>
      <c r="C41" s="8" t="n">
        <f aca="false">SUMIF(비용_거래내역!$H$5:$H$1068,"제외-계좌간 자금이체",비용_거래내역!$F$5:$F$1068)</f>
        <v>115000000</v>
      </c>
    </row>
    <row r="42" customFormat="false" ht="15" hidden="false" customHeight="false" outlineLevel="0" collapsed="false">
      <c r="A42" s="2" t="s">
        <v>1528</v>
      </c>
      <c r="B42" s="8" t="n">
        <f aca="false">SUMIF(비용_거래내역!$H$5:$H$1068,"제외-단기금융상품 매도(투자활동)",비용_거래내역!$E$5:$E$1068)</f>
        <v>0</v>
      </c>
      <c r="C42" s="8" t="n">
        <f aca="false">SUMIF(비용_거래내역!$H$5:$H$1068,"제외-단기금융상품 매도(투자활동)",비용_거래내역!$F$5:$F$1068)</f>
        <v>251887157</v>
      </c>
    </row>
    <row r="43" customFormat="false" ht="15" hidden="false" customHeight="false" outlineLevel="0" collapsed="false">
      <c r="A43" s="2" t="s">
        <v>1529</v>
      </c>
      <c r="B43" s="8" t="n">
        <f aca="false">SUMIF(비용_거래내역!$H$5:$H$1068,"제외-예금해지(투자활동)",비용_거래내역!$E$5:$E$1068)</f>
        <v>0</v>
      </c>
      <c r="C43" s="8" t="n">
        <f aca="false">SUMIF(비용_거래내역!$H$5:$H$1068,"제외-예금해지(투자활동)",비용_거래내역!$F$5:$F$1068)</f>
        <v>36420680</v>
      </c>
    </row>
    <row r="44" customFormat="false" ht="15" hidden="false" customHeight="false" outlineLevel="0" collapsed="false">
      <c r="A44" s="2" t="s">
        <v>1530</v>
      </c>
      <c r="B44" s="8" t="n">
        <f aca="false">SUMIF(비용_거래내역!$H$5:$H$1068,"잡수익-이자수익",비용_거래내역!$E$5:$E$1068)</f>
        <v>0</v>
      </c>
      <c r="C44" s="8" t="n">
        <f aca="false">SUMIF(비용_거래내역!$H$5:$H$1068,"잡수익-이자수익",비용_거래내역!$F$5:$F$1068)</f>
        <v>54437</v>
      </c>
    </row>
    <row r="45" customFormat="false" ht="15" hidden="false" customHeight="false" outlineLevel="0" collapsed="false">
      <c r="A45" s="2" t="s">
        <v>1531</v>
      </c>
      <c r="B45" s="8" t="n">
        <f aca="false">SUMIF(비용_거래내역!$H$5:$H$1068,"잡수익-정부지원금(고용부)",비용_거래내역!$E$5:$E$1068)</f>
        <v>0</v>
      </c>
      <c r="C45" s="8" t="n">
        <f aca="false">SUMIF(비용_거래내역!$H$5:$H$1068,"잡수익-정부지원금(고용부)",비용_거래내역!$F$5:$F$1068)</f>
        <v>4672440</v>
      </c>
    </row>
    <row r="46" customFormat="false" ht="15" hidden="false" customHeight="false" outlineLevel="0" collapsed="false">
      <c r="A46" s="2" t="s">
        <v>1532</v>
      </c>
      <c r="B46" s="8" t="n">
        <f aca="false">SUMIF(비용_거래내역!$H$5:$H$1068,"잡수익-정부지원금(추정)",비용_거래내역!$E$5:$E$1068)</f>
        <v>0</v>
      </c>
      <c r="C46" s="8" t="n">
        <f aca="false">SUMIF(비용_거래내역!$H$5:$H$1068,"잡수익-정부지원금(추정)",비용_거래내역!$F$5:$F$1068)</f>
        <v>11000000</v>
      </c>
    </row>
    <row r="47" customFormat="false" ht="15" hidden="false" customHeight="false" outlineLevel="0" collapsed="false">
      <c r="A47" s="2" t="s">
        <v>1533</v>
      </c>
      <c r="B47" s="8" t="n">
        <f aca="false">SUMIF(비용_거래내역!$H$5:$H$1068,"환급-세무서(추정, P&amp;L 별도표기)",비용_거래내역!$E$5:$E$1068)</f>
        <v>0</v>
      </c>
      <c r="C47" s="8" t="n">
        <f aca="false">SUMIF(비용_거래내역!$H$5:$H$1068,"환급-세무서(추정, P&amp;L 별도표기)",비용_거래내역!$F$5:$F$1068)</f>
        <v>31808560</v>
      </c>
    </row>
    <row r="49" customFormat="false" ht="17.15" hidden="false" customHeight="false" outlineLevel="0" collapsed="false">
      <c r="A49" s="6" t="s">
        <v>1534</v>
      </c>
    </row>
    <row r="50" customFormat="false" ht="15" hidden="false" customHeight="false" outlineLevel="0" collapsed="false">
      <c r="A50" s="38" t="s">
        <v>1535</v>
      </c>
      <c r="B50" s="44" t="n">
        <f aca="false">SUMIF(비용_거래내역!$H$5:$H$1068,"기타(확인필요)-대표자 관련 대액 출금",비용_거래내역!$E$5:$E$1068)</f>
        <v>56000000</v>
      </c>
    </row>
    <row r="51" customFormat="false" ht="17.15" hidden="false" customHeight="false" outlineLevel="0" collapsed="false">
      <c r="A51" s="38" t="s">
        <v>1536</v>
      </c>
      <c r="B51" s="44" t="n">
        <f aca="false">SUMIF(비용_거래내역!$H$5:$H$1068,"기타(확인필요)-대표자 정기적금(추정)",비용_거래내역!$E$5:$E$1068)</f>
        <v>24000000</v>
      </c>
    </row>
    <row r="52" customFormat="false" ht="17.15" hidden="false" customHeight="false" outlineLevel="0" collapsed="false">
      <c r="A52" s="38" t="s">
        <v>1537</v>
      </c>
      <c r="B52" s="44" t="n">
        <f aca="false">SUMIF(비용_거래내역!$H$5:$H$1068,"기타(확인필요)-대표자 관련(용도미상)",비용_거래내역!$E$5:$E$1068)</f>
        <v>20816970</v>
      </c>
    </row>
    <row r="53" customFormat="false" ht="15" hidden="false" customHeight="false" outlineLevel="0" collapsed="false">
      <c r="A53" s="17" t="s">
        <v>1538</v>
      </c>
      <c r="B53" s="18" t="n">
        <f aca="false">SUM(B50:B52)</f>
        <v>100816970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7" min="5" style="0" width="14"/>
  </cols>
  <sheetData>
    <row r="1" customFormat="false" ht="21.6" hidden="false" customHeight="false" outlineLevel="0" collapsed="false">
      <c r="A1" s="1" t="s">
        <v>1539</v>
      </c>
    </row>
    <row r="2" customFormat="false" ht="15" hidden="false" customHeight="false" outlineLevel="0" collapsed="false">
      <c r="A2" s="2" t="s">
        <v>1540</v>
      </c>
    </row>
    <row r="4" customFormat="false" ht="17.15" hidden="false" customHeight="false" outlineLevel="0" collapsed="false">
      <c r="A4" s="14" t="s">
        <v>29</v>
      </c>
      <c r="B4" s="45" t="s">
        <v>1541</v>
      </c>
      <c r="C4" s="14" t="s">
        <v>1542</v>
      </c>
      <c r="D4" s="14" t="s">
        <v>1543</v>
      </c>
      <c r="E4" s="14" t="s">
        <v>1544</v>
      </c>
      <c r="F4" s="14" t="s">
        <v>1545</v>
      </c>
      <c r="G4" s="14" t="s">
        <v>1546</v>
      </c>
    </row>
    <row r="5" customFormat="false" ht="15" hidden="false" customHeight="false" outlineLevel="0" collapsed="false">
      <c r="A5" s="15" t="s">
        <v>31</v>
      </c>
      <c r="B5" s="16" t="n">
        <v>47661820</v>
      </c>
      <c r="C5" s="16" t="n">
        <v>13313800</v>
      </c>
      <c r="D5" s="27" t="n">
        <v>4000000</v>
      </c>
      <c r="E5" s="16" t="n">
        <f aca="false">B5+C5+D5</f>
        <v>64975620</v>
      </c>
      <c r="F5" s="16" t="n">
        <v>88219750</v>
      </c>
      <c r="G5" s="16" t="n">
        <f aca="false">E5-F5</f>
        <v>-23244130</v>
      </c>
    </row>
    <row r="6" customFormat="false" ht="15" hidden="false" customHeight="false" outlineLevel="0" collapsed="false">
      <c r="A6" s="15" t="s">
        <v>32</v>
      </c>
      <c r="B6" s="16" t="n">
        <v>37903580</v>
      </c>
      <c r="C6" s="16" t="n">
        <v>8028800</v>
      </c>
      <c r="D6" s="27" t="n">
        <v>4000000</v>
      </c>
      <c r="E6" s="16" t="n">
        <f aca="false">B6+C6+D6</f>
        <v>49932380</v>
      </c>
      <c r="F6" s="16" t="n">
        <v>86038027</v>
      </c>
      <c r="G6" s="16" t="n">
        <f aca="false">E6-F6</f>
        <v>-36105647</v>
      </c>
    </row>
    <row r="7" customFormat="false" ht="15" hidden="false" customHeight="false" outlineLevel="0" collapsed="false">
      <c r="A7" s="15" t="s">
        <v>33</v>
      </c>
      <c r="B7" s="16" t="n">
        <v>50998845</v>
      </c>
      <c r="C7" s="16" t="n">
        <v>10860500</v>
      </c>
      <c r="D7" s="27" t="n">
        <v>4000000</v>
      </c>
      <c r="E7" s="16" t="n">
        <f aca="false">B7+C7+D7</f>
        <v>65859345</v>
      </c>
      <c r="F7" s="16" t="n">
        <v>62229684</v>
      </c>
      <c r="G7" s="16" t="n">
        <f aca="false">E7-F7</f>
        <v>3629661</v>
      </c>
    </row>
    <row r="8" customFormat="false" ht="15" hidden="false" customHeight="false" outlineLevel="0" collapsed="false">
      <c r="A8" s="15" t="s">
        <v>34</v>
      </c>
      <c r="B8" s="16" t="n">
        <v>57367410</v>
      </c>
      <c r="C8" s="16" t="n">
        <v>10928200</v>
      </c>
      <c r="D8" s="27" t="n">
        <v>4000000</v>
      </c>
      <c r="E8" s="16" t="n">
        <f aca="false">B8+C8+D8</f>
        <v>72295610</v>
      </c>
      <c r="F8" s="16" t="n">
        <v>67548210</v>
      </c>
      <c r="G8" s="16" t="n">
        <f aca="false">E8-F8</f>
        <v>4747400</v>
      </c>
    </row>
    <row r="9" customFormat="false" ht="15" hidden="false" customHeight="false" outlineLevel="0" collapsed="false">
      <c r="A9" s="15" t="s">
        <v>35</v>
      </c>
      <c r="B9" s="16" t="n">
        <v>60827800</v>
      </c>
      <c r="C9" s="16" t="n">
        <v>15884000</v>
      </c>
      <c r="D9" s="27" t="n">
        <v>4000000</v>
      </c>
      <c r="E9" s="16" t="n">
        <f aca="false">B9+C9+D9</f>
        <v>80711800</v>
      </c>
      <c r="F9" s="16" t="n">
        <v>70338524</v>
      </c>
      <c r="G9" s="16" t="n">
        <f aca="false">E9-F9</f>
        <v>10373276</v>
      </c>
    </row>
    <row r="10" customFormat="false" ht="15" hidden="false" customHeight="false" outlineLevel="0" collapsed="false">
      <c r="A10" s="15" t="s">
        <v>36</v>
      </c>
      <c r="B10" s="16" t="n">
        <v>48882650</v>
      </c>
      <c r="C10" s="16" t="n">
        <v>5632000</v>
      </c>
      <c r="D10" s="27" t="n">
        <v>4000000</v>
      </c>
      <c r="E10" s="16" t="n">
        <f aca="false">B10+C10+D10</f>
        <v>58514650</v>
      </c>
      <c r="F10" s="16" t="n">
        <v>82584837</v>
      </c>
      <c r="G10" s="16" t="n">
        <f aca="false">E10-F10</f>
        <v>-24070187</v>
      </c>
    </row>
    <row r="11" customFormat="false" ht="15" hidden="false" customHeight="false" outlineLevel="0" collapsed="false">
      <c r="A11" s="15" t="s">
        <v>37</v>
      </c>
      <c r="B11" s="16" t="n">
        <v>66159085</v>
      </c>
      <c r="C11" s="16" t="n">
        <v>9104200</v>
      </c>
      <c r="D11" s="27" t="n">
        <v>4000000</v>
      </c>
      <c r="E11" s="16" t="n">
        <f aca="false">B11+C11+D11</f>
        <v>79263285</v>
      </c>
      <c r="F11" s="16" t="n">
        <v>70961860</v>
      </c>
      <c r="G11" s="16" t="n">
        <f aca="false">E11-F11</f>
        <v>8301425</v>
      </c>
    </row>
    <row r="12" customFormat="false" ht="15" hidden="false" customHeight="false" outlineLevel="0" collapsed="false">
      <c r="A12" s="15" t="s">
        <v>38</v>
      </c>
      <c r="B12" s="16" t="n">
        <v>58653145</v>
      </c>
      <c r="C12" s="16" t="n">
        <v>9492000</v>
      </c>
      <c r="D12" s="27" t="n">
        <v>4000000</v>
      </c>
      <c r="E12" s="16" t="n">
        <f aca="false">B12+C12+D12</f>
        <v>72145145</v>
      </c>
      <c r="F12" s="16" t="n">
        <v>63793546</v>
      </c>
      <c r="G12" s="16" t="n">
        <f aca="false">E12-F12</f>
        <v>8351599</v>
      </c>
    </row>
    <row r="13" customFormat="false" ht="15" hidden="false" customHeight="false" outlineLevel="0" collapsed="false">
      <c r="A13" s="15" t="s">
        <v>39</v>
      </c>
      <c r="B13" s="16" t="n">
        <v>67029165</v>
      </c>
      <c r="C13" s="16" t="n">
        <v>18842900</v>
      </c>
      <c r="D13" s="27" t="n">
        <v>4000000</v>
      </c>
      <c r="E13" s="16" t="n">
        <f aca="false">B13+C13+D13</f>
        <v>89872065</v>
      </c>
      <c r="F13" s="16" t="n">
        <v>59745896</v>
      </c>
      <c r="G13" s="16" t="n">
        <f aca="false">E13-F13</f>
        <v>30126169</v>
      </c>
    </row>
    <row r="14" customFormat="false" ht="15" hidden="false" customHeight="false" outlineLevel="0" collapsed="false">
      <c r="A14" s="15" t="s">
        <v>40</v>
      </c>
      <c r="B14" s="16" t="n">
        <v>65218555</v>
      </c>
      <c r="C14" s="16" t="n">
        <v>14420000</v>
      </c>
      <c r="D14" s="27" t="n">
        <v>4000000</v>
      </c>
      <c r="E14" s="16" t="n">
        <f aca="false">B14+C14+D14</f>
        <v>83638555</v>
      </c>
      <c r="F14" s="16" t="n">
        <v>76780449</v>
      </c>
      <c r="G14" s="16" t="n">
        <f aca="false">E14-F14</f>
        <v>6858106</v>
      </c>
    </row>
    <row r="15" customFormat="false" ht="15" hidden="false" customHeight="false" outlineLevel="0" collapsed="false">
      <c r="A15" s="15" t="s">
        <v>41</v>
      </c>
      <c r="B15" s="16" t="n">
        <v>57686650</v>
      </c>
      <c r="C15" s="16" t="n">
        <v>15342800</v>
      </c>
      <c r="D15" s="27" t="n">
        <v>4000000</v>
      </c>
      <c r="E15" s="16" t="n">
        <f aca="false">B15+C15+D15</f>
        <v>77029450</v>
      </c>
      <c r="F15" s="16" t="n">
        <v>94554314</v>
      </c>
      <c r="G15" s="16" t="n">
        <f aca="false">E15-F15</f>
        <v>-17524864</v>
      </c>
    </row>
    <row r="16" customFormat="false" ht="15" hidden="false" customHeight="false" outlineLevel="0" collapsed="false">
      <c r="A16" s="15" t="s">
        <v>42</v>
      </c>
      <c r="B16" s="16" t="n">
        <v>55070630</v>
      </c>
      <c r="C16" s="16" t="n">
        <v>15974950</v>
      </c>
      <c r="D16" s="27" t="n">
        <v>4000000</v>
      </c>
      <c r="E16" s="16" t="n">
        <f aca="false">B16+C16+D16</f>
        <v>75045580</v>
      </c>
      <c r="F16" s="16" t="n">
        <v>73371083</v>
      </c>
      <c r="G16" s="16" t="n">
        <f aca="false">E16-F16</f>
        <v>1674497</v>
      </c>
    </row>
    <row r="17" customFormat="false" ht="15" hidden="false" customHeight="false" outlineLevel="0" collapsed="false">
      <c r="A17" s="17" t="s">
        <v>43</v>
      </c>
      <c r="B17" s="18" t="n">
        <f aca="false">SUM(B5:B16)</f>
        <v>673459335</v>
      </c>
      <c r="C17" s="18" t="n">
        <f aca="false">SUM(C5:C16)</f>
        <v>147824150</v>
      </c>
      <c r="D17" s="18" t="n">
        <f aca="false">SUM(D5:D16)</f>
        <v>48000000</v>
      </c>
      <c r="E17" s="18" t="n">
        <f aca="false">SUM(E5:E16)</f>
        <v>869283485</v>
      </c>
      <c r="F17" s="18" t="n">
        <f aca="false">SUM(F5:F16)</f>
        <v>896166180</v>
      </c>
      <c r="G17" s="18" t="n">
        <f aca="false">SUM(G5:G16)</f>
        <v>-26882695</v>
      </c>
    </row>
    <row r="19" customFormat="false" ht="15" hidden="false" customHeight="false" outlineLevel="0" collapsed="false">
      <c r="A19" s="28" t="s">
        <v>1547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32" t="s">
        <v>1548</v>
      </c>
    </row>
    <row r="3" customFormat="false" ht="17.15" hidden="false" customHeight="false" outlineLevel="0" collapsed="false">
      <c r="A3" s="46" t="s">
        <v>1549</v>
      </c>
    </row>
    <row r="4" customFormat="false" ht="15" hidden="false" customHeight="false" outlineLevel="0" collapsed="false">
      <c r="A4" s="9" t="s">
        <v>1550</v>
      </c>
    </row>
    <row r="5" customFormat="false" ht="15" hidden="false" customHeight="false" outlineLevel="0" collapsed="false">
      <c r="A5" s="9" t="s">
        <v>1551</v>
      </c>
    </row>
    <row r="6" customFormat="false" ht="15" hidden="false" customHeight="false" outlineLevel="0" collapsed="false">
      <c r="A6" s="47" t="s">
        <v>1552</v>
      </c>
    </row>
    <row r="7" customFormat="false" ht="15" hidden="false" customHeight="false" outlineLevel="0" collapsed="false">
      <c r="A7" s="47" t="s">
        <v>1553</v>
      </c>
    </row>
    <row r="8" customFormat="false" ht="15" hidden="false" customHeight="false" outlineLevel="0" collapsed="false">
      <c r="A8" s="47" t="s">
        <v>1554</v>
      </c>
    </row>
    <row r="9" customFormat="false" ht="15" hidden="false" customHeight="false" outlineLevel="0" collapsed="false">
      <c r="A9" s="48" t="s">
        <v>1555</v>
      </c>
    </row>
    <row r="11" customFormat="false" ht="17.15" hidden="false" customHeight="false" outlineLevel="0" collapsed="false">
      <c r="A11" s="46" t="s">
        <v>1556</v>
      </c>
    </row>
    <row r="12" customFormat="false" ht="15" hidden="false" customHeight="false" outlineLevel="0" collapsed="false">
      <c r="A12" s="47" t="s">
        <v>1557</v>
      </c>
    </row>
    <row r="13" customFormat="false" ht="15" hidden="false" customHeight="false" outlineLevel="0" collapsed="false">
      <c r="A13" s="9" t="s">
        <v>1558</v>
      </c>
    </row>
    <row r="15" customFormat="false" ht="17.15" hidden="false" customHeight="false" outlineLevel="0" collapsed="false">
      <c r="A15" s="46" t="s">
        <v>1559</v>
      </c>
    </row>
    <row r="16" customFormat="false" ht="17.15" hidden="false" customHeight="false" outlineLevel="0" collapsed="false">
      <c r="A16" s="19" t="s">
        <v>125</v>
      </c>
      <c r="B16" s="19" t="s">
        <v>1560</v>
      </c>
      <c r="C16" s="19" t="s">
        <v>81</v>
      </c>
      <c r="D16" s="19" t="s">
        <v>46</v>
      </c>
    </row>
    <row r="17" customFormat="false" ht="15" hidden="false" customHeight="false" outlineLevel="0" collapsed="false">
      <c r="A17" s="21" t="s">
        <v>968</v>
      </c>
      <c r="B17" s="15" t="s">
        <v>1561</v>
      </c>
      <c r="C17" s="21" t="s">
        <v>1479</v>
      </c>
      <c r="D17" s="16" t="n">
        <v>27915450</v>
      </c>
    </row>
    <row r="18" customFormat="false" ht="15" hidden="false" customHeight="false" outlineLevel="0" collapsed="false">
      <c r="A18" s="21" t="s">
        <v>968</v>
      </c>
      <c r="B18" s="15" t="s">
        <v>1561</v>
      </c>
      <c r="C18" s="21" t="s">
        <v>1261</v>
      </c>
      <c r="D18" s="16" t="n">
        <v>5600000</v>
      </c>
    </row>
    <row r="19" customFormat="false" ht="15" hidden="false" customHeight="false" outlineLevel="0" collapsed="false">
      <c r="A19" s="21" t="s">
        <v>968</v>
      </c>
      <c r="B19" s="15" t="s">
        <v>1562</v>
      </c>
      <c r="C19" s="21" t="s">
        <v>1390</v>
      </c>
      <c r="D19" s="16" t="n">
        <v>35976000</v>
      </c>
    </row>
    <row r="20" customFormat="false" ht="15" hidden="false" customHeight="false" outlineLevel="0" collapsed="false">
      <c r="A20" s="21" t="s">
        <v>968</v>
      </c>
      <c r="B20" s="15" t="s">
        <v>1563</v>
      </c>
      <c r="C20" s="21" t="s">
        <v>1301</v>
      </c>
      <c r="D20" s="16" t="n">
        <v>10689000</v>
      </c>
    </row>
    <row r="21" customFormat="false" ht="15" hidden="false" customHeight="false" outlineLevel="0" collapsed="false">
      <c r="A21" s="21" t="s">
        <v>968</v>
      </c>
      <c r="B21" s="15" t="s">
        <v>1564</v>
      </c>
      <c r="C21" s="21" t="s">
        <v>1301</v>
      </c>
      <c r="D21" s="16" t="n">
        <v>7120000</v>
      </c>
    </row>
    <row r="22" customFormat="false" ht="15" hidden="false" customHeight="false" outlineLevel="0" collapsed="false">
      <c r="A22" s="21" t="s">
        <v>968</v>
      </c>
      <c r="B22" s="15" t="s">
        <v>1565</v>
      </c>
      <c r="C22" s="21" t="s">
        <v>1261</v>
      </c>
      <c r="D22" s="16" t="n">
        <v>440000</v>
      </c>
    </row>
    <row r="23" customFormat="false" ht="17.15" hidden="false" customHeight="false" outlineLevel="0" collapsed="false">
      <c r="A23" s="21" t="s">
        <v>129</v>
      </c>
      <c r="B23" s="15" t="s">
        <v>1566</v>
      </c>
      <c r="C23" s="21" t="s">
        <v>1567</v>
      </c>
      <c r="D23" s="16" t="n">
        <v>1540000</v>
      </c>
    </row>
    <row r="24" customFormat="false" ht="17.15" hidden="false" customHeight="false" outlineLevel="0" collapsed="false">
      <c r="A24" s="21" t="s">
        <v>129</v>
      </c>
      <c r="B24" s="15" t="s">
        <v>1568</v>
      </c>
      <c r="C24" s="21" t="s">
        <v>1569</v>
      </c>
      <c r="D24" s="16" t="n">
        <v>11770000</v>
      </c>
    </row>
    <row r="25" customFormat="false" ht="17.15" hidden="false" customHeight="false" outlineLevel="0" collapsed="false">
      <c r="A25" s="21" t="s">
        <v>129</v>
      </c>
      <c r="B25" s="15" t="s">
        <v>1570</v>
      </c>
      <c r="C25" s="21" t="s">
        <v>1571</v>
      </c>
      <c r="D25" s="16" t="n">
        <v>29480000</v>
      </c>
    </row>
    <row r="26" customFormat="false" ht="15" hidden="false" customHeight="false" outlineLevel="0" collapsed="false">
      <c r="C26" s="17" t="s">
        <v>43</v>
      </c>
      <c r="D26" s="18" t="n">
        <v>130530450</v>
      </c>
    </row>
    <row r="28" customFormat="false" ht="17.15" hidden="false" customHeight="false" outlineLevel="0" collapsed="false">
      <c r="A28" s="46" t="s">
        <v>1572</v>
      </c>
    </row>
    <row r="29" customFormat="false" ht="15" hidden="false" customHeight="false" outlineLevel="0" collapsed="false">
      <c r="A29" s="47" t="s">
        <v>1573</v>
      </c>
    </row>
    <row r="30" customFormat="false" ht="15" hidden="false" customHeight="false" outlineLevel="0" collapsed="false">
      <c r="A30" s="47" t="s">
        <v>1574</v>
      </c>
    </row>
    <row r="31" customFormat="false" ht="15" hidden="false" customHeight="false" outlineLevel="0" collapsed="false">
      <c r="A31" s="47" t="s">
        <v>1575</v>
      </c>
    </row>
    <row r="32" customFormat="false" ht="15" hidden="false" customHeight="false" outlineLevel="0" collapsed="false">
      <c r="A32" s="10" t="s">
        <v>1576</v>
      </c>
    </row>
    <row r="34" customFormat="false" ht="17.15" hidden="false" customHeight="false" outlineLevel="0" collapsed="false">
      <c r="A34" s="46" t="s">
        <v>1577</v>
      </c>
    </row>
    <row r="35" customFormat="false" ht="15" hidden="false" customHeight="false" outlineLevel="0" collapsed="false">
      <c r="A35" s="9" t="s">
        <v>1578</v>
      </c>
    </row>
    <row r="36" customFormat="false" ht="15" hidden="false" customHeight="false" outlineLevel="0" collapsed="false">
      <c r="A36" s="9" t="s">
        <v>1579</v>
      </c>
    </row>
    <row r="38" customFormat="false" ht="17.15" hidden="false" customHeight="false" outlineLevel="0" collapsed="false">
      <c r="A38" s="46" t="s">
        <v>1580</v>
      </c>
    </row>
    <row r="39" customFormat="false" ht="15" hidden="false" customHeight="false" outlineLevel="0" collapsed="false">
      <c r="A39" s="9" t="s">
        <v>1581</v>
      </c>
    </row>
    <row r="40" customFormat="false" ht="15" hidden="false" customHeight="false" outlineLevel="0" collapsed="false">
      <c r="A40" s="10" t="s">
        <v>1582</v>
      </c>
    </row>
    <row r="42" customFormat="false" ht="17.15" hidden="false" customHeight="false" outlineLevel="0" collapsed="false">
      <c r="A42" s="46" t="s">
        <v>1583</v>
      </c>
    </row>
    <row r="43" customFormat="false" ht="15" hidden="false" customHeight="false" outlineLevel="0" collapsed="false">
      <c r="A43" s="9" t="s">
        <v>1584</v>
      </c>
    </row>
    <row r="45" customFormat="false" ht="17.15" hidden="false" customHeight="false" outlineLevel="0" collapsed="false">
      <c r="A45" s="46" t="s">
        <v>1585</v>
      </c>
    </row>
    <row r="46" customFormat="false" ht="15" hidden="false" customHeight="false" outlineLevel="0" collapsed="false">
      <c r="A46" s="9" t="s">
        <v>1586</v>
      </c>
    </row>
    <row r="47" customFormat="false" ht="15" hidden="false" customHeight="false" outlineLevel="0" collapsed="false">
      <c r="A47" s="9" t="s">
        <v>1587</v>
      </c>
    </row>
    <row r="48" customFormat="false" ht="15" hidden="false" customHeight="false" outlineLevel="0" collapsed="false">
      <c r="A48" s="10" t="s">
        <v>1588</v>
      </c>
    </row>
    <row r="49" customFormat="false" ht="15" hidden="false" customHeight="false" outlineLevel="0" collapsed="false">
      <c r="A49" s="9" t="s">
        <v>1589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2026-09-01T02:34:58Z</dcterms:created>
  <dc:creator>openpyxl</dc:creator>
  <dc:description/>
  <dc:language>en-US</dc:language>
  <cp:lastModifiedBy/>
  <dcterms:modified xsi:type="dcterms:W3CDTF">2026-09-01T11:35:04Z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