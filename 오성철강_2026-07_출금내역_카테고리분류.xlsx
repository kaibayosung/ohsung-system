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출금내역" sheetId="1" state="visible" r:id="rId3"/>
    <sheet name="카테고리별 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ERP2.0</author>
  </authors>
  <commentList>
    <comment ref="B12" authorId="0">
      <text>
        <r>
          <rPr>
            <sz val="10"/>
            <rFont val="Noto Sans CJK SC"/>
            <family val="2"/>
          </rPr>
          <t xml:space="preserve">대표님 제공 수기 추정값 </t>
        </r>
        <r>
          <rPr>
            <sz val="10"/>
            <rFont val="Arial"/>
            <family val="2"/>
          </rPr>
          <t xml:space="preserve">(2026-07-31 </t>
        </r>
        <r>
          <rPr>
            <sz val="10"/>
            <rFont val="Noto Sans CJK SC"/>
            <family val="2"/>
          </rPr>
          <t xml:space="preserve">대화 기준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통장 거래내역에 별도로 표시되지 않는 이자 비용을 반영하기 위한 입력값입니다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실제 확정 시 이 셀만 교체하세요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<sst xmlns="http://schemas.openxmlformats.org/spreadsheetml/2006/main" count="213" uniqueCount="76">
  <si>
    <r>
      <rPr>
        <b val="true"/>
        <sz val="14"/>
        <color rgb="FF0F1E33"/>
        <rFont val="Noto Sans CJK SC"/>
        <family val="2"/>
      </rPr>
      <t xml:space="preserve">오성철강 </t>
    </r>
    <r>
      <rPr>
        <b val="true"/>
        <sz val="14"/>
        <color rgb="FF0F1E33"/>
        <rFont val="Arial"/>
        <family val="0"/>
        <charset val="1"/>
      </rPr>
      <t xml:space="preserve">2026-07 </t>
    </r>
    <r>
      <rPr>
        <b val="true"/>
        <sz val="14"/>
        <color rgb="FF0F1E33"/>
        <rFont val="Noto Sans CJK SC"/>
        <family val="2"/>
      </rPr>
      <t xml:space="preserve">통장 출금내역 </t>
    </r>
    <r>
      <rPr>
        <b val="true"/>
        <sz val="14"/>
        <color rgb="FF0F1E33"/>
        <rFont val="Arial"/>
        <family val="0"/>
        <charset val="1"/>
      </rPr>
      <t xml:space="preserve">(</t>
    </r>
    <r>
      <rPr>
        <b val="true"/>
        <sz val="14"/>
        <color rgb="FF0F1E33"/>
        <rFont val="Noto Sans CJK SC"/>
        <family val="2"/>
      </rPr>
      <t xml:space="preserve">거래내역조회</t>
    </r>
    <r>
      <rPr>
        <b val="true"/>
        <sz val="14"/>
        <color rgb="FF0F1E33"/>
        <rFont val="Arial"/>
        <family val="0"/>
        <charset val="1"/>
      </rPr>
      <t xml:space="preserve">_20260731.xls)</t>
    </r>
  </si>
  <si>
    <r>
      <rPr>
        <i val="true"/>
        <sz val="10"/>
        <color rgb="FF7D8BA1"/>
        <rFont val="Noto Sans CJK SC"/>
        <family val="2"/>
      </rPr>
      <t xml:space="preserve">계좌 </t>
    </r>
    <r>
      <rPr>
        <i val="true"/>
        <sz val="10"/>
        <color rgb="FF7D8BA1"/>
        <rFont val="Arial"/>
        <family val="0"/>
        <charset val="1"/>
      </rPr>
      <t xml:space="preserve">433-910049-16804 · </t>
    </r>
    <r>
      <rPr>
        <i val="true"/>
        <sz val="10"/>
        <color rgb="FF7D8BA1"/>
        <rFont val="Noto Sans CJK SC"/>
        <family val="2"/>
      </rPr>
      <t xml:space="preserve">입금 거래 제외</t>
    </r>
    <r>
      <rPr>
        <i val="true"/>
        <sz val="10"/>
        <color rgb="FF7D8BA1"/>
        <rFont val="Arial"/>
        <family val="0"/>
        <charset val="1"/>
      </rPr>
      <t xml:space="preserve">, </t>
    </r>
    <r>
      <rPr>
        <i val="true"/>
        <sz val="10"/>
        <color rgb="FF7D8BA1"/>
        <rFont val="Noto Sans CJK SC"/>
        <family val="2"/>
      </rPr>
      <t xml:space="preserve">출금만 정리 </t>
    </r>
    <r>
      <rPr>
        <i val="true"/>
        <sz val="10"/>
        <color rgb="FF7D8BA1"/>
        <rFont val="Arial"/>
        <family val="0"/>
        <charset val="1"/>
      </rPr>
      <t xml:space="preserve">· </t>
    </r>
    <r>
      <rPr>
        <i val="true"/>
        <sz val="10"/>
        <color rgb="FF7D8BA1"/>
        <rFont val="Noto Sans CJK SC"/>
        <family val="2"/>
      </rPr>
      <t xml:space="preserve">카테고리는 구분</t>
    </r>
    <r>
      <rPr>
        <i val="true"/>
        <sz val="10"/>
        <color rgb="FF7D8BA1"/>
        <rFont val="Arial"/>
        <family val="0"/>
        <charset val="1"/>
      </rPr>
      <t xml:space="preserve">/</t>
    </r>
    <r>
      <rPr>
        <i val="true"/>
        <sz val="10"/>
        <color rgb="FF7D8BA1"/>
        <rFont val="Noto Sans CJK SC"/>
        <family val="2"/>
      </rPr>
      <t xml:space="preserve">적요 키워드 자동분류</t>
    </r>
  </si>
  <si>
    <t xml:space="preserve">일자</t>
  </si>
  <si>
    <t xml:space="preserve">구분</t>
  </si>
  <si>
    <t xml:space="preserve">적요</t>
  </si>
  <si>
    <t xml:space="preserve">카테고리</t>
  </si>
  <si>
    <t xml:space="preserve">금액</t>
  </si>
  <si>
    <t xml:space="preserve">거래점</t>
  </si>
  <si>
    <t xml:space="preserve">2026-07-06</t>
  </si>
  <si>
    <t xml:space="preserve">CMS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</si>
  <si>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07051</t>
    </r>
  </si>
  <si>
    <r>
      <rPr>
        <sz val="11"/>
        <rFont val="Noto Sans CJK SC"/>
        <family val="2"/>
      </rPr>
      <t xml:space="preserve">위탁대행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기타</t>
    </r>
  </si>
  <si>
    <t xml:space="preserve">남동기업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</si>
  <si>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국민은행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</si>
  <si>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이양수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리코일러수리</t>
    </r>
    <r>
      <rPr>
        <sz val="11"/>
        <rFont val="Arial"/>
        <family val="0"/>
        <charset val="1"/>
      </rPr>
      <t xml:space="preserve">))</t>
    </r>
  </si>
  <si>
    <t xml:space="preserve">인터넷뱅킹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</si>
  <si>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기업은행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</si>
  <si>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금성호이스트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점검외수리</t>
    </r>
    <r>
      <rPr>
        <sz val="11"/>
        <rFont val="Arial"/>
        <family val="0"/>
        <charset val="1"/>
      </rPr>
      <t xml:space="preserve">))</t>
    </r>
  </si>
  <si>
    <t xml:space="preserve">2026-07-10</t>
  </si>
  <si>
    <t xml:space="preserve">보험료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</si>
  <si>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07-161</t>
    </r>
  </si>
  <si>
    <r>
      <rPr>
        <sz val="11"/>
        <rFont val="Noto Sans CJK SC"/>
        <family val="2"/>
      </rPr>
      <t xml:space="preserve">영업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부</t>
    </r>
  </si>
  <si>
    <t xml:space="preserve">급여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</si>
  <si>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우리은행</t>
    </r>
    <r>
      <rPr>
        <sz val="11"/>
        <rFont val="Arial"/>
        <family val="0"/>
        <charset val="1"/>
      </rPr>
      <t xml:space="preserve">)</t>
    </r>
  </si>
  <si>
    <t xml:space="preserve">급여아스</t>
  </si>
  <si>
    <t xml:space="preserve">급여키어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</si>
  <si>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농협</t>
    </r>
    <r>
      <rPr>
        <sz val="11"/>
        <rFont val="Arial"/>
        <family val="0"/>
        <charset val="1"/>
      </rPr>
      <t xml:space="preserve">)</t>
    </r>
  </si>
  <si>
    <t xml:space="preserve">당행송금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</si>
  <si>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신한은행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</si>
  <si>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(SC</t>
    </r>
    <r>
      <rPr>
        <sz val="11"/>
        <rFont val="Noto Sans CJK SC"/>
        <family val="2"/>
      </rPr>
      <t xml:space="preserve">제일은행</t>
    </r>
    <r>
      <rPr>
        <sz val="11"/>
        <rFont val="Arial"/>
        <family val="0"/>
        <charset val="1"/>
      </rPr>
      <t xml:space="preserve">)</t>
    </r>
  </si>
  <si>
    <t xml:space="preserve">자동이체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</si>
  <si>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0</t>
    </r>
  </si>
  <si>
    <t xml:space="preserve">상공회의</t>
  </si>
  <si>
    <t xml:space="preserve">공과금</t>
  </si>
  <si>
    <t xml:space="preserve">근로소득세</t>
  </si>
  <si>
    <t xml:space="preserve">수도광열비</t>
  </si>
  <si>
    <t xml:space="preserve">단원구청</t>
  </si>
  <si>
    <t xml:space="preserve">2026-07-13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</si>
  <si>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07244</t>
    </r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</si>
  <si>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07044</t>
    </r>
  </si>
  <si>
    <t xml:space="preserve">2026-07-15</t>
  </si>
  <si>
    <t xml:space="preserve">대체</t>
  </si>
  <si>
    <t xml:space="preserve">퇴직연금이체거래</t>
  </si>
  <si>
    <t xml:space="preserve">퇴직연금</t>
  </si>
  <si>
    <t xml:space="preserve">2026-07-20</t>
  </si>
  <si>
    <t xml:space="preserve">23SAMSUN880224</t>
  </si>
  <si>
    <t xml:space="preserve">16SAMSUN990514</t>
  </si>
  <si>
    <t xml:space="preserve">16SAMSUN960916</t>
  </si>
  <si>
    <t xml:space="preserve">13SAMSUN981024</t>
  </si>
  <si>
    <t xml:space="preserve">13SAMSUN961128</t>
  </si>
  <si>
    <r>
      <rPr>
        <sz val="11"/>
        <rFont val="Noto Sans CJK SC"/>
        <family val="2"/>
      </rPr>
      <t xml:space="preserve">대홍엔지니어링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언코일러선금</t>
    </r>
    <r>
      <rPr>
        <sz val="11"/>
        <rFont val="Arial"/>
        <family val="0"/>
        <charset val="1"/>
      </rPr>
      <t xml:space="preserve">))</t>
    </r>
  </si>
  <si>
    <t xml:space="preserve">2026-07-21</t>
  </si>
  <si>
    <t xml:space="preserve">안산시재산세</t>
  </si>
  <si>
    <t xml:space="preserve">2026-07-22</t>
  </si>
  <si>
    <t xml:space="preserve">부가가치세</t>
  </si>
  <si>
    <t xml:space="preserve">인천광재산세</t>
  </si>
  <si>
    <t xml:space="preserve">2026-07-23</t>
  </si>
  <si>
    <t xml:space="preserve">하나카드</t>
  </si>
  <si>
    <t xml:space="preserve">하나카드기업</t>
  </si>
  <si>
    <t xml:space="preserve">카드대금</t>
  </si>
  <si>
    <t xml:space="preserve">2026-07-27</t>
  </si>
  <si>
    <t xml:space="preserve">통신요금</t>
  </si>
  <si>
    <t xml:space="preserve">KT0434510507</t>
  </si>
  <si>
    <t xml:space="preserve">통신비</t>
  </si>
  <si>
    <t xml:space="preserve">KT0432211107</t>
  </si>
  <si>
    <t xml:space="preserve">KT5392716507</t>
  </si>
  <si>
    <t xml:space="preserve">GIRO</t>
  </si>
  <si>
    <t xml:space="preserve">S1(N2328731)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</si>
  <si>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176</t>
    </r>
  </si>
  <si>
    <t xml:space="preserve">합계</t>
  </si>
  <si>
    <r>
      <rPr>
        <b val="true"/>
        <sz val="14"/>
        <color rgb="FF0F1E33"/>
        <rFont val="Noto Sans CJK SC"/>
        <family val="2"/>
      </rPr>
      <t xml:space="preserve">오성철강 </t>
    </r>
    <r>
      <rPr>
        <b val="true"/>
        <sz val="14"/>
        <color rgb="FF0F1E33"/>
        <rFont val="Arial"/>
        <family val="0"/>
        <charset val="1"/>
      </rPr>
      <t xml:space="preserve">2026-07 </t>
    </r>
    <r>
      <rPr>
        <b val="true"/>
        <sz val="14"/>
        <color rgb="FF0F1E33"/>
        <rFont val="Noto Sans CJK SC"/>
        <family val="2"/>
      </rPr>
      <t xml:space="preserve">지출 비용 — 카테고리별 요약</t>
    </r>
  </si>
  <si>
    <r>
      <rPr>
        <i val="true"/>
        <sz val="10"/>
        <color rgb="FF7D8BA1"/>
        <rFont val="Noto Sans CJK SC"/>
        <family val="2"/>
      </rPr>
      <t xml:space="preserve">통장 출금 합계는 </t>
    </r>
    <r>
      <rPr>
        <i val="true"/>
        <sz val="10"/>
        <color rgb="FF7D8BA1"/>
        <rFont val="Arial"/>
        <family val="0"/>
        <charset val="1"/>
      </rPr>
      <t xml:space="preserve">[</t>
    </r>
    <r>
      <rPr>
        <i val="true"/>
        <sz val="10"/>
        <color rgb="FF7D8BA1"/>
        <rFont val="Noto Sans CJK SC"/>
        <family val="2"/>
      </rPr>
      <t xml:space="preserve">출금내역</t>
    </r>
    <r>
      <rPr>
        <i val="true"/>
        <sz val="10"/>
        <color rgb="FF7D8BA1"/>
        <rFont val="Arial"/>
        <family val="0"/>
        <charset val="1"/>
      </rPr>
      <t xml:space="preserve">] </t>
    </r>
    <r>
      <rPr>
        <i val="true"/>
        <sz val="10"/>
        <color rgb="FF7D8BA1"/>
        <rFont val="Noto Sans CJK SC"/>
        <family val="2"/>
      </rPr>
      <t xml:space="preserve">시트를 </t>
    </r>
    <r>
      <rPr>
        <i val="true"/>
        <sz val="10"/>
        <color rgb="FF7D8BA1"/>
        <rFont val="Arial"/>
        <family val="0"/>
        <charset val="1"/>
      </rPr>
      <t xml:space="preserve">SUMIF</t>
    </r>
    <r>
      <rPr>
        <i val="true"/>
        <sz val="10"/>
        <color rgb="FF7D8BA1"/>
        <rFont val="Noto Sans CJK SC"/>
        <family val="2"/>
      </rPr>
      <t xml:space="preserve">로 자동 집계 </t>
    </r>
    <r>
      <rPr>
        <i val="true"/>
        <sz val="10"/>
        <color rgb="FF7D8BA1"/>
        <rFont val="Arial"/>
        <family val="0"/>
        <charset val="1"/>
      </rPr>
      <t xml:space="preserve">· </t>
    </r>
    <r>
      <rPr>
        <i val="true"/>
        <sz val="10"/>
        <color rgb="FF7D8BA1"/>
        <rFont val="Noto Sans CJK SC"/>
        <family val="2"/>
      </rPr>
      <t xml:space="preserve">이자는 수기 입력값</t>
    </r>
    <r>
      <rPr>
        <i val="true"/>
        <sz val="10"/>
        <color rgb="FF7D8BA1"/>
        <rFont val="Arial"/>
        <family val="0"/>
        <charset val="1"/>
      </rPr>
      <t xml:space="preserve">(</t>
    </r>
    <r>
      <rPr>
        <i val="true"/>
        <sz val="10"/>
        <color rgb="FF7D8BA1"/>
        <rFont val="Noto Sans CJK SC"/>
        <family val="2"/>
      </rPr>
      <t xml:space="preserve">파란 글씨</t>
    </r>
    <r>
      <rPr>
        <i val="true"/>
        <sz val="10"/>
        <color rgb="FF7D8BA1"/>
        <rFont val="Arial"/>
        <family val="0"/>
        <charset val="1"/>
      </rPr>
      <t xml:space="preserve">)</t>
    </r>
  </si>
  <si>
    <t xml:space="preserve">통장 출금 소계</t>
  </si>
  <si>
    <r>
      <rPr>
        <sz val="11"/>
        <rFont val="Noto Sans CJK SC"/>
        <family val="2"/>
      </rPr>
      <t xml:space="preserve">이자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수기입력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</si>
  <si>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비용 총계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통장 출금 </t>
    </r>
    <r>
      <rPr>
        <b val="true"/>
        <sz val="11"/>
        <rFont val="Arial"/>
        <family val="0"/>
        <charset val="1"/>
      </rPr>
      <t xml:space="preserve">+ </t>
    </r>
    <r>
      <rPr>
        <b val="true"/>
        <sz val="11"/>
        <rFont val="Noto Sans CJK SC"/>
        <family val="2"/>
      </rPr>
      <t xml:space="preserve">이자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</si>
  <si>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0"/>
        <color rgb="FF7D8BA1"/>
        <rFont val="Noto Sans CJK SC"/>
        <family val="2"/>
      </rPr>
      <t xml:space="preserve">검산</t>
    </r>
    <r>
      <rPr>
        <i val="true"/>
        <sz val="10"/>
        <color rgb="FF7D8BA1"/>
        <rFont val="Arial"/>
        <family val="0"/>
        <charset val="1"/>
      </rPr>
      <t xml:space="preserve">: </t>
    </r>
    <r>
      <rPr>
        <i val="true"/>
        <sz val="10"/>
        <color rgb="FF7D8BA1"/>
        <rFont val="Noto Sans CJK SC"/>
        <family val="2"/>
      </rPr>
      <t xml:space="preserve">파일 자체 합계행</t>
    </r>
    <r>
      <rPr>
        <i val="true"/>
        <sz val="10"/>
        <color rgb="FF7D8BA1"/>
        <rFont val="Arial"/>
        <family val="0"/>
        <charset val="1"/>
      </rPr>
      <t xml:space="preserve">(84,794,024</t>
    </r>
    <r>
      <rPr>
        <i val="true"/>
        <sz val="10"/>
        <color rgb="FF7D8BA1"/>
        <rFont val="Noto Sans CJK SC"/>
        <family val="2"/>
      </rPr>
      <t xml:space="preserve">원</t>
    </r>
    <r>
      <rPr>
        <i val="true"/>
        <sz val="10"/>
        <color rgb="FF7D8BA1"/>
        <rFont val="Arial"/>
        <family val="0"/>
        <charset val="1"/>
      </rPr>
      <t xml:space="preserve">)</t>
    </r>
    <r>
      <rPr>
        <i val="true"/>
        <sz val="10"/>
        <color rgb="FF7D8BA1"/>
        <rFont val="Noto Sans CJK SC"/>
        <family val="2"/>
      </rPr>
      <t xml:space="preserve">과 일치 확인됨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</si>
</sst>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\원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E33"/>
      <name val="Noto Sans CJK SC"/>
      <family val="2"/>
    </font>
    <font>
      <b val="true"/>
      <sz val="14"/>
      <color rgb="FF0F1E33"/>
      <name val="Arial"/>
      <family val="0"/>
      <charset val="1"/>
    </font>
    <font>
      <i val="true"/>
      <sz val="10"/>
      <color rgb="FF7D8BA1"/>
      <name val="Noto Sans CJK SC"/>
      <family val="2"/>
    </font>
    <font>
      <i val="true"/>
      <sz val="10"/>
      <color rgb="FF7D8BA1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1E33"/>
        <bgColor rgb="FF003300"/>
      </patternFill>
    </fill>
    <fill>
      <patternFill patternType="solid">
        <fgColor rgb="FFEEF1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D8BA1"/>
      <rgbColor rgb="FF9999FF"/>
      <rgbColor rgb="FF993366"/>
      <rgbColor rgb="FFEEF1F6"/>
      <rgbColor rgb="FFCCFFFF"/>
      <rgbColor rgb="FF660066"/>
      <rgbColor rgb="FFFF8080"/>
      <rgbColor rgb="FF0066CC"/>
      <rgbColor rgb="FFD9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E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7.15" hidden="false" customHeight="false" outlineLevel="0" collapsed="false">
      <c r="A5" s="4" t="s">
        <v>8</v>
      </c>
      <c r="B5" s="4" t="s">
        <v>9</v>
      </c>
      <c r="C5" s="5" t="s">
        <v>10</v>
      </c>
      <c r="D5" s="5" t="s">
        <v>11</v>
      </c>
      <c r="E5" s="6" t="n">
        <v>20000</v>
      </c>
      <c r="F5" s="5" t="s">
        <v>12</v>
      </c>
    </row>
    <row r="6" customFormat="false" ht="17.15" hidden="false" customHeight="false" outlineLevel="0" collapsed="false">
      <c r="A6" s="4" t="s">
        <v>8</v>
      </c>
      <c r="B6" s="5" t="s">
        <v>13</v>
      </c>
      <c r="C6" s="5" t="s">
        <v>14</v>
      </c>
      <c r="D6" s="5" t="s">
        <v>11</v>
      </c>
      <c r="E6" s="6" t="n">
        <v>550000</v>
      </c>
      <c r="F6" s="5" t="s">
        <v>15</v>
      </c>
    </row>
    <row r="7" customFormat="false" ht="17.15" hidden="false" customHeight="false" outlineLevel="0" collapsed="false">
      <c r="A7" s="4" t="s">
        <v>8</v>
      </c>
      <c r="B7" s="5" t="s">
        <v>16</v>
      </c>
      <c r="C7" s="5" t="s">
        <v>17</v>
      </c>
      <c r="D7" s="5" t="s">
        <v>11</v>
      </c>
      <c r="E7" s="6" t="n">
        <v>1540000</v>
      </c>
      <c r="F7" s="5" t="s">
        <v>15</v>
      </c>
    </row>
    <row r="8" customFormat="false" ht="17.15" hidden="false" customHeight="false" outlineLevel="0" collapsed="false">
      <c r="A8" s="4" t="s">
        <v>18</v>
      </c>
      <c r="B8" s="5" t="s">
        <v>19</v>
      </c>
      <c r="C8" s="5" t="s">
        <v>20</v>
      </c>
      <c r="D8" s="5" t="s">
        <v>11</v>
      </c>
      <c r="E8" s="6" t="n">
        <v>47200</v>
      </c>
      <c r="F8" s="5" t="s">
        <v>21</v>
      </c>
    </row>
    <row r="9" customFormat="false" ht="17.15" hidden="false" customHeight="false" outlineLevel="0" collapsed="false">
      <c r="A9" s="4" t="s">
        <v>18</v>
      </c>
      <c r="B9" s="5" t="s">
        <v>16</v>
      </c>
      <c r="C9" s="5" t="s">
        <v>22</v>
      </c>
      <c r="D9" s="5" t="s">
        <v>22</v>
      </c>
      <c r="E9" s="6" t="n">
        <v>1896180</v>
      </c>
      <c r="F9" s="5" t="s">
        <v>15</v>
      </c>
    </row>
    <row r="10" customFormat="false" ht="17.15" hidden="false" customHeight="false" outlineLevel="0" collapsed="false">
      <c r="A10" s="4" t="s">
        <v>18</v>
      </c>
      <c r="B10" s="5" t="s">
        <v>23</v>
      </c>
      <c r="C10" s="5" t="s">
        <v>22</v>
      </c>
      <c r="D10" s="5" t="s">
        <v>22</v>
      </c>
      <c r="E10" s="6" t="n">
        <v>1859840</v>
      </c>
      <c r="F10" s="5" t="s">
        <v>15</v>
      </c>
    </row>
    <row r="11" customFormat="false" ht="17.15" hidden="false" customHeight="false" outlineLevel="0" collapsed="false">
      <c r="A11" s="4" t="s">
        <v>18</v>
      </c>
      <c r="B11" s="5" t="s">
        <v>23</v>
      </c>
      <c r="C11" s="5" t="s">
        <v>24</v>
      </c>
      <c r="D11" s="5" t="s">
        <v>22</v>
      </c>
      <c r="E11" s="6" t="n">
        <v>1844360</v>
      </c>
      <c r="F11" s="5" t="s">
        <v>15</v>
      </c>
    </row>
    <row r="12" customFormat="false" ht="17.15" hidden="false" customHeight="false" outlineLevel="0" collapsed="false">
      <c r="A12" s="4" t="s">
        <v>18</v>
      </c>
      <c r="B12" s="5" t="s">
        <v>16</v>
      </c>
      <c r="C12" s="5" t="s">
        <v>25</v>
      </c>
      <c r="D12" s="5" t="s">
        <v>22</v>
      </c>
      <c r="E12" s="6" t="n">
        <v>1861570</v>
      </c>
      <c r="F12" s="5" t="s">
        <v>15</v>
      </c>
    </row>
    <row r="13" customFormat="false" ht="17.15" hidden="false" customHeight="false" outlineLevel="0" collapsed="false">
      <c r="A13" s="4" t="s">
        <v>18</v>
      </c>
      <c r="B13" s="5" t="s">
        <v>26</v>
      </c>
      <c r="C13" s="5" t="s">
        <v>22</v>
      </c>
      <c r="D13" s="5" t="s">
        <v>22</v>
      </c>
      <c r="E13" s="6" t="n">
        <v>3952430</v>
      </c>
      <c r="F13" s="5" t="s">
        <v>15</v>
      </c>
    </row>
    <row r="14" customFormat="false" ht="17.15" hidden="false" customHeight="false" outlineLevel="0" collapsed="false">
      <c r="A14" s="4" t="s">
        <v>18</v>
      </c>
      <c r="B14" s="5" t="s">
        <v>16</v>
      </c>
      <c r="C14" s="5" t="s">
        <v>22</v>
      </c>
      <c r="D14" s="5" t="s">
        <v>22</v>
      </c>
      <c r="E14" s="6" t="n">
        <v>2060880</v>
      </c>
      <c r="F14" s="5" t="s">
        <v>15</v>
      </c>
    </row>
    <row r="15" customFormat="false" ht="17.15" hidden="false" customHeight="false" outlineLevel="0" collapsed="false">
      <c r="A15" s="4" t="s">
        <v>18</v>
      </c>
      <c r="B15" s="5" t="s">
        <v>27</v>
      </c>
      <c r="C15" s="5" t="s">
        <v>22</v>
      </c>
      <c r="D15" s="5" t="s">
        <v>22</v>
      </c>
      <c r="E15" s="6" t="n">
        <v>2174050</v>
      </c>
      <c r="F15" s="5" t="s">
        <v>15</v>
      </c>
    </row>
    <row r="16" customFormat="false" ht="17.15" hidden="false" customHeight="false" outlineLevel="0" collapsed="false">
      <c r="A16" s="4" t="s">
        <v>18</v>
      </c>
      <c r="B16" s="5" t="s">
        <v>28</v>
      </c>
      <c r="C16" s="5" t="s">
        <v>22</v>
      </c>
      <c r="D16" s="5" t="s">
        <v>22</v>
      </c>
      <c r="E16" s="6" t="n">
        <v>3222930</v>
      </c>
      <c r="F16" s="5" t="s">
        <v>15</v>
      </c>
    </row>
    <row r="17" customFormat="false" ht="17.15" hidden="false" customHeight="false" outlineLevel="0" collapsed="false">
      <c r="A17" s="4" t="s">
        <v>18</v>
      </c>
      <c r="B17" s="5" t="s">
        <v>29</v>
      </c>
      <c r="C17" s="5" t="s">
        <v>22</v>
      </c>
      <c r="D17" s="5" t="s">
        <v>22</v>
      </c>
      <c r="E17" s="6" t="n">
        <v>4568470</v>
      </c>
      <c r="F17" s="5" t="s">
        <v>15</v>
      </c>
    </row>
    <row r="18" customFormat="false" ht="17.15" hidden="false" customHeight="false" outlineLevel="0" collapsed="false">
      <c r="A18" s="4" t="s">
        <v>18</v>
      </c>
      <c r="B18" s="5" t="s">
        <v>27</v>
      </c>
      <c r="C18" s="5" t="s">
        <v>22</v>
      </c>
      <c r="D18" s="5" t="s">
        <v>22</v>
      </c>
      <c r="E18" s="6" t="n">
        <v>6695000</v>
      </c>
      <c r="F18" s="5" t="s">
        <v>15</v>
      </c>
    </row>
    <row r="19" customFormat="false" ht="17.15" hidden="false" customHeight="false" outlineLevel="0" collapsed="false">
      <c r="A19" s="4" t="s">
        <v>18</v>
      </c>
      <c r="B19" s="5" t="s">
        <v>27</v>
      </c>
      <c r="C19" s="5" t="s">
        <v>22</v>
      </c>
      <c r="D19" s="5" t="s">
        <v>22</v>
      </c>
      <c r="E19" s="6" t="n">
        <v>3217840</v>
      </c>
      <c r="F19" s="5" t="s">
        <v>15</v>
      </c>
    </row>
    <row r="20" customFormat="false" ht="17.15" hidden="false" customHeight="false" outlineLevel="0" collapsed="false">
      <c r="A20" s="4" t="s">
        <v>18</v>
      </c>
      <c r="B20" s="5" t="s">
        <v>30</v>
      </c>
      <c r="C20" s="5" t="s">
        <v>31</v>
      </c>
      <c r="D20" s="5" t="s">
        <v>11</v>
      </c>
      <c r="E20" s="6" t="n">
        <v>28780</v>
      </c>
      <c r="F20" s="5" t="s">
        <v>32</v>
      </c>
    </row>
    <row r="21" customFormat="false" ht="17.15" hidden="false" customHeight="false" outlineLevel="0" collapsed="false">
      <c r="A21" s="4" t="s">
        <v>18</v>
      </c>
      <c r="B21" s="5" t="s">
        <v>30</v>
      </c>
      <c r="C21" s="5" t="s">
        <v>31</v>
      </c>
      <c r="D21" s="5" t="s">
        <v>11</v>
      </c>
      <c r="E21" s="6" t="n">
        <v>30300</v>
      </c>
      <c r="F21" s="5" t="s">
        <v>32</v>
      </c>
    </row>
    <row r="22" customFormat="false" ht="17.15" hidden="false" customHeight="false" outlineLevel="0" collapsed="false">
      <c r="A22" s="4" t="s">
        <v>18</v>
      </c>
      <c r="B22" s="5" t="s">
        <v>33</v>
      </c>
      <c r="C22" s="5" t="s">
        <v>34</v>
      </c>
      <c r="D22" s="5" t="s">
        <v>35</v>
      </c>
      <c r="E22" s="6" t="n">
        <v>1178520</v>
      </c>
      <c r="F22" s="5" t="s">
        <v>15</v>
      </c>
    </row>
    <row r="23" customFormat="false" ht="17.15" hidden="false" customHeight="false" outlineLevel="0" collapsed="false">
      <c r="A23" s="4" t="s">
        <v>18</v>
      </c>
      <c r="B23" s="5" t="s">
        <v>27</v>
      </c>
      <c r="C23" s="5" t="s">
        <v>22</v>
      </c>
      <c r="D23" s="5" t="s">
        <v>22</v>
      </c>
      <c r="E23" s="6" t="n">
        <v>2929920</v>
      </c>
      <c r="F23" s="5" t="s">
        <v>15</v>
      </c>
    </row>
    <row r="24" customFormat="false" ht="17.15" hidden="false" customHeight="false" outlineLevel="0" collapsed="false">
      <c r="A24" s="4" t="s">
        <v>18</v>
      </c>
      <c r="B24" s="5" t="s">
        <v>33</v>
      </c>
      <c r="C24" s="5" t="s">
        <v>36</v>
      </c>
      <c r="D24" s="5" t="s">
        <v>35</v>
      </c>
      <c r="E24" s="6" t="n">
        <v>117900</v>
      </c>
      <c r="F24" s="5" t="s">
        <v>15</v>
      </c>
    </row>
    <row r="25" customFormat="false" ht="17.15" hidden="false" customHeight="false" outlineLevel="0" collapsed="false">
      <c r="A25" s="4" t="s">
        <v>37</v>
      </c>
      <c r="B25" s="4" t="s">
        <v>9</v>
      </c>
      <c r="C25" s="5" t="s">
        <v>38</v>
      </c>
      <c r="D25" s="5" t="s">
        <v>11</v>
      </c>
      <c r="E25" s="6" t="n">
        <v>29700</v>
      </c>
      <c r="F25" s="5" t="s">
        <v>12</v>
      </c>
    </row>
    <row r="26" customFormat="false" ht="17.15" hidden="false" customHeight="false" outlineLevel="0" collapsed="false">
      <c r="A26" s="4" t="s">
        <v>37</v>
      </c>
      <c r="B26" s="4" t="s">
        <v>9</v>
      </c>
      <c r="C26" s="5" t="s">
        <v>39</v>
      </c>
      <c r="D26" s="5" t="s">
        <v>11</v>
      </c>
      <c r="E26" s="6" t="n">
        <v>42764</v>
      </c>
      <c r="F26" s="5" t="s">
        <v>12</v>
      </c>
    </row>
    <row r="27" customFormat="false" ht="17.15" hidden="false" customHeight="false" outlineLevel="0" collapsed="false">
      <c r="A27" s="4" t="s">
        <v>40</v>
      </c>
      <c r="B27" s="5" t="s">
        <v>41</v>
      </c>
      <c r="C27" s="5" t="s">
        <v>42</v>
      </c>
      <c r="D27" s="5" t="s">
        <v>43</v>
      </c>
      <c r="E27" s="6" t="n">
        <v>341940</v>
      </c>
      <c r="F27" s="5" t="s">
        <v>12</v>
      </c>
    </row>
    <row r="28" customFormat="false" ht="17.15" hidden="false" customHeight="false" outlineLevel="0" collapsed="false">
      <c r="A28" s="4" t="s">
        <v>44</v>
      </c>
      <c r="B28" s="4" t="s">
        <v>9</v>
      </c>
      <c r="C28" s="4" t="s">
        <v>45</v>
      </c>
      <c r="D28" s="5" t="s">
        <v>11</v>
      </c>
      <c r="E28" s="6" t="n">
        <v>175000</v>
      </c>
      <c r="F28" s="5" t="s">
        <v>12</v>
      </c>
    </row>
    <row r="29" customFormat="false" ht="17.15" hidden="false" customHeight="false" outlineLevel="0" collapsed="false">
      <c r="A29" s="4" t="s">
        <v>44</v>
      </c>
      <c r="B29" s="4" t="s">
        <v>9</v>
      </c>
      <c r="C29" s="4" t="s">
        <v>46</v>
      </c>
      <c r="D29" s="5" t="s">
        <v>11</v>
      </c>
      <c r="E29" s="6" t="n">
        <v>173900</v>
      </c>
      <c r="F29" s="5" t="s">
        <v>12</v>
      </c>
    </row>
    <row r="30" customFormat="false" ht="17.15" hidden="false" customHeight="false" outlineLevel="0" collapsed="false">
      <c r="A30" s="4" t="s">
        <v>44</v>
      </c>
      <c r="B30" s="4" t="s">
        <v>9</v>
      </c>
      <c r="C30" s="4" t="s">
        <v>47</v>
      </c>
      <c r="D30" s="5" t="s">
        <v>11</v>
      </c>
      <c r="E30" s="6" t="n">
        <v>173900</v>
      </c>
      <c r="F30" s="5" t="s">
        <v>12</v>
      </c>
    </row>
    <row r="31" customFormat="false" ht="17.15" hidden="false" customHeight="false" outlineLevel="0" collapsed="false">
      <c r="A31" s="4" t="s">
        <v>44</v>
      </c>
      <c r="B31" s="4" t="s">
        <v>9</v>
      </c>
      <c r="C31" s="4" t="s">
        <v>48</v>
      </c>
      <c r="D31" s="5" t="s">
        <v>11</v>
      </c>
      <c r="E31" s="6" t="n">
        <v>173900</v>
      </c>
      <c r="F31" s="5" t="s">
        <v>12</v>
      </c>
    </row>
    <row r="32" customFormat="false" ht="17.15" hidden="false" customHeight="false" outlineLevel="0" collapsed="false">
      <c r="A32" s="4" t="s">
        <v>44</v>
      </c>
      <c r="B32" s="4" t="s">
        <v>9</v>
      </c>
      <c r="C32" s="4" t="s">
        <v>49</v>
      </c>
      <c r="D32" s="5" t="s">
        <v>11</v>
      </c>
      <c r="E32" s="6" t="n">
        <v>173900</v>
      </c>
      <c r="F32" s="5" t="s">
        <v>12</v>
      </c>
    </row>
    <row r="33" customFormat="false" ht="17.15" hidden="false" customHeight="false" outlineLevel="0" collapsed="false">
      <c r="A33" s="4" t="s">
        <v>44</v>
      </c>
      <c r="B33" s="5" t="s">
        <v>16</v>
      </c>
      <c r="C33" s="5" t="s">
        <v>50</v>
      </c>
      <c r="D33" s="5" t="s">
        <v>11</v>
      </c>
      <c r="E33" s="6" t="n">
        <v>11770000</v>
      </c>
      <c r="F33" s="5" t="s">
        <v>15</v>
      </c>
    </row>
    <row r="34" customFormat="false" ht="17.15" hidden="false" customHeight="false" outlineLevel="0" collapsed="false">
      <c r="A34" s="4" t="s">
        <v>51</v>
      </c>
      <c r="B34" s="5" t="s">
        <v>33</v>
      </c>
      <c r="C34" s="5" t="s">
        <v>52</v>
      </c>
      <c r="D34" s="5" t="s">
        <v>35</v>
      </c>
      <c r="E34" s="6" t="n">
        <v>903200</v>
      </c>
      <c r="F34" s="5" t="s">
        <v>12</v>
      </c>
    </row>
    <row r="35" customFormat="false" ht="17.15" hidden="false" customHeight="false" outlineLevel="0" collapsed="false">
      <c r="A35" s="4" t="s">
        <v>53</v>
      </c>
      <c r="B35" s="5" t="s">
        <v>33</v>
      </c>
      <c r="C35" s="5" t="s">
        <v>54</v>
      </c>
      <c r="D35" s="5" t="s">
        <v>35</v>
      </c>
      <c r="E35" s="6" t="n">
        <v>29284630</v>
      </c>
      <c r="F35" s="5" t="s">
        <v>12</v>
      </c>
    </row>
    <row r="36" customFormat="false" ht="17.15" hidden="false" customHeight="false" outlineLevel="0" collapsed="false">
      <c r="A36" s="4" t="s">
        <v>53</v>
      </c>
      <c r="B36" s="5" t="s">
        <v>33</v>
      </c>
      <c r="C36" s="5" t="s">
        <v>55</v>
      </c>
      <c r="D36" s="5" t="s">
        <v>35</v>
      </c>
      <c r="E36" s="6" t="n">
        <v>262800</v>
      </c>
      <c r="F36" s="5" t="s">
        <v>12</v>
      </c>
    </row>
    <row r="37" customFormat="false" ht="17.15" hidden="false" customHeight="false" outlineLevel="0" collapsed="false">
      <c r="A37" s="4" t="s">
        <v>56</v>
      </c>
      <c r="B37" s="5" t="s">
        <v>57</v>
      </c>
      <c r="C37" s="5" t="s">
        <v>58</v>
      </c>
      <c r="D37" s="5" t="s">
        <v>59</v>
      </c>
      <c r="E37" s="6" t="n">
        <v>1027950</v>
      </c>
      <c r="F37" s="5" t="s">
        <v>12</v>
      </c>
    </row>
    <row r="38" customFormat="false" ht="17.15" hidden="false" customHeight="false" outlineLevel="0" collapsed="false">
      <c r="A38" s="4" t="s">
        <v>60</v>
      </c>
      <c r="B38" s="5" t="s">
        <v>61</v>
      </c>
      <c r="C38" s="4" t="s">
        <v>62</v>
      </c>
      <c r="D38" s="5" t="s">
        <v>63</v>
      </c>
      <c r="E38" s="6" t="n">
        <v>5660</v>
      </c>
      <c r="F38" s="5" t="s">
        <v>12</v>
      </c>
    </row>
    <row r="39" customFormat="false" ht="17.15" hidden="false" customHeight="false" outlineLevel="0" collapsed="false">
      <c r="A39" s="4" t="s">
        <v>60</v>
      </c>
      <c r="B39" s="5" t="s">
        <v>61</v>
      </c>
      <c r="C39" s="4" t="s">
        <v>64</v>
      </c>
      <c r="D39" s="5" t="s">
        <v>63</v>
      </c>
      <c r="E39" s="6" t="n">
        <v>81060</v>
      </c>
      <c r="F39" s="5" t="s">
        <v>12</v>
      </c>
    </row>
    <row r="40" customFormat="false" ht="17.15" hidden="false" customHeight="false" outlineLevel="0" collapsed="false">
      <c r="A40" s="4" t="s">
        <v>60</v>
      </c>
      <c r="B40" s="5" t="s">
        <v>61</v>
      </c>
      <c r="C40" s="4" t="s">
        <v>65</v>
      </c>
      <c r="D40" s="5" t="s">
        <v>63</v>
      </c>
      <c r="E40" s="6" t="n">
        <v>6550</v>
      </c>
      <c r="F40" s="5" t="s">
        <v>12</v>
      </c>
    </row>
    <row r="41" customFormat="false" ht="17.15" hidden="false" customHeight="false" outlineLevel="0" collapsed="false">
      <c r="A41" s="4" t="s">
        <v>60</v>
      </c>
      <c r="B41" s="4" t="s">
        <v>66</v>
      </c>
      <c r="C41" s="4" t="s">
        <v>67</v>
      </c>
      <c r="D41" s="5" t="s">
        <v>11</v>
      </c>
      <c r="E41" s="6" t="n">
        <v>121000</v>
      </c>
      <c r="F41" s="5" t="s">
        <v>12</v>
      </c>
    </row>
    <row r="42" customFormat="false" ht="17.15" hidden="false" customHeight="false" outlineLevel="0" collapsed="false">
      <c r="A42" s="4" t="s">
        <v>60</v>
      </c>
      <c r="B42" s="4" t="s">
        <v>9</v>
      </c>
      <c r="C42" s="5" t="s">
        <v>68</v>
      </c>
      <c r="D42" s="5" t="s">
        <v>11</v>
      </c>
      <c r="E42" s="6" t="n">
        <v>250000</v>
      </c>
      <c r="F42" s="5" t="s">
        <v>12</v>
      </c>
    </row>
    <row r="43" customFormat="false" ht="17.15" hidden="false" customHeight="false" outlineLevel="0" collapsed="false">
      <c r="A43" s="7"/>
      <c r="B43" s="7"/>
      <c r="C43" s="7"/>
      <c r="D43" s="8" t="s">
        <v>69</v>
      </c>
      <c r="E43" s="9" t="n">
        <f aca="false">SUM(E5:E42)</f>
        <v>84794024</v>
      </c>
      <c r="F43" s="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21.6" hidden="false" customHeight="false" outlineLevel="0" collapsed="false">
      <c r="A1" s="1" t="s">
        <v>70</v>
      </c>
      <c r="B1" s="1"/>
    </row>
    <row r="2" customFormat="false" ht="15" hidden="false" customHeight="false" outlineLevel="0" collapsed="false">
      <c r="A2" s="2" t="s">
        <v>71</v>
      </c>
      <c r="B2" s="2"/>
    </row>
    <row r="4" customFormat="false" ht="15" hidden="false" customHeight="false" outlineLevel="0" collapsed="false">
      <c r="A4" s="3" t="s">
        <v>5</v>
      </c>
      <c r="B4" s="3" t="s">
        <v>6</v>
      </c>
    </row>
    <row r="5" customFormat="false" ht="17.15" hidden="false" customHeight="false" outlineLevel="0" collapsed="false">
      <c r="A5" s="5" t="s">
        <v>22</v>
      </c>
      <c r="B5" s="6" t="n">
        <f aca="false">SUMIF(출금내역!$D$5:$D$42,A5,출금내역!$E$5:$E$42)</f>
        <v>36283470</v>
      </c>
    </row>
    <row r="6" customFormat="false" ht="17.15" hidden="false" customHeight="false" outlineLevel="0" collapsed="false">
      <c r="A6" s="5" t="s">
        <v>35</v>
      </c>
      <c r="B6" s="6" t="n">
        <f aca="false">SUMIF(출금내역!$D$5:$D$42,A6,출금내역!$E$5:$E$42)</f>
        <v>31747050</v>
      </c>
    </row>
    <row r="7" customFormat="false" ht="17.15" hidden="false" customHeight="false" outlineLevel="0" collapsed="false">
      <c r="A7" s="5" t="s">
        <v>11</v>
      </c>
      <c r="B7" s="6" t="n">
        <f aca="false">SUMIF(출금내역!$D$5:$D$42,A7,출금내역!$E$5:$E$42)</f>
        <v>15300344</v>
      </c>
    </row>
    <row r="8" customFormat="false" ht="17.15" hidden="false" customHeight="false" outlineLevel="0" collapsed="false">
      <c r="A8" s="5" t="s">
        <v>59</v>
      </c>
      <c r="B8" s="6" t="n">
        <f aca="false">SUMIF(출금내역!$D$5:$D$42,A8,출금내역!$E$5:$E$42)</f>
        <v>1027950</v>
      </c>
    </row>
    <row r="9" customFormat="false" ht="17.15" hidden="false" customHeight="false" outlineLevel="0" collapsed="false">
      <c r="A9" s="5" t="s">
        <v>43</v>
      </c>
      <c r="B9" s="6" t="n">
        <f aca="false">SUMIF(출금내역!$D$5:$D$42,A9,출금내역!$E$5:$E$42)</f>
        <v>341940</v>
      </c>
    </row>
    <row r="10" customFormat="false" ht="17.15" hidden="false" customHeight="false" outlineLevel="0" collapsed="false">
      <c r="A10" s="5" t="s">
        <v>63</v>
      </c>
      <c r="B10" s="6" t="n">
        <f aca="false">SUMIF(출금내역!$D$5:$D$42,A10,출금내역!$E$5:$E$42)</f>
        <v>93270</v>
      </c>
    </row>
    <row r="11" customFormat="false" ht="17.15" hidden="false" customHeight="false" outlineLevel="0" collapsed="false">
      <c r="A11" s="8" t="s">
        <v>72</v>
      </c>
      <c r="B11" s="9" t="n">
        <f aca="false">SUM(B5:B10)</f>
        <v>84794024</v>
      </c>
    </row>
    <row r="12" customFormat="false" ht="17.15" hidden="false" customHeight="false" outlineLevel="0" collapsed="false">
      <c r="A12" s="5" t="s">
        <v>73</v>
      </c>
      <c r="B12" s="10" t="n">
        <v>6000000</v>
      </c>
    </row>
    <row r="13" customFormat="false" ht="17.15" hidden="false" customHeight="false" outlineLevel="0" collapsed="false">
      <c r="A13" s="8" t="s">
        <v>74</v>
      </c>
      <c r="B13" s="9" t="n">
        <f aca="false">B11+B12</f>
        <v>90794024</v>
      </c>
    </row>
    <row r="15" customFormat="false" ht="15" hidden="false" customHeight="false" outlineLevel="0" collapsed="false">
      <c r="A15" s="11" t="s">
        <v>75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2026-07-31T05:21:51Z</dcterms:created>
  <dc:creator>openpyxl</dc:creator>
  <dc:description/>
  <dc:language>en-US</dc:language>
  <cp:lastModifiedBy/>
  <dcterms:modified xsi:type="dcterms:W3CDTF">2026-07-31T05:21:51Z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