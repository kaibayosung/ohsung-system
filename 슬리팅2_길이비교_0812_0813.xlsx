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슬리팅2 길이비교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<sst xmlns="http://schemas.openxmlformats.org/spreadsheetml/2006/main" count="63" uniqueCount="42">
  <si>
    <r>
      <rPr>
        <b val="true"/>
        <sz val="14"/>
        <color rgb="FF1F3864"/>
        <rFont val="Noto Sans CJK SC"/>
        <family val="2"/>
      </rPr>
      <t xml:space="preserve">슬리팅</t>
    </r>
    <r>
      <rPr>
        <b val="true"/>
        <sz val="14"/>
        <color rgb="FF1F3864"/>
        <rFont val="Arial"/>
        <family val="0"/>
        <charset val="1"/>
      </rPr>
      <t xml:space="preserve">2 — PLC </t>
    </r>
    <r>
      <rPr>
        <b val="true"/>
        <sz val="14"/>
        <color rgb="FF1F3864"/>
        <rFont val="Noto Sans CJK SC"/>
        <family val="2"/>
      </rPr>
      <t xml:space="preserve">실측길이 </t>
    </r>
    <r>
      <rPr>
        <b val="true"/>
        <sz val="14"/>
        <color rgb="FF1F3864"/>
        <rFont val="Arial"/>
        <family val="0"/>
        <charset val="1"/>
      </rPr>
      <t xml:space="preserve">vs </t>
    </r>
    <r>
      <rPr>
        <b val="true"/>
        <sz val="14"/>
        <color rgb="FF1F3864"/>
        <rFont val="Noto Sans CJK SC"/>
        <family val="2"/>
      </rPr>
      <t xml:space="preserve">소재정보 계산길이 비교 </t>
    </r>
    <r>
      <rPr>
        <b val="true"/>
        <sz val="14"/>
        <color rgb="FF1F3864"/>
        <rFont val="Arial"/>
        <family val="0"/>
        <charset val="1"/>
      </rPr>
      <t xml:space="preserve">(2026-08-12~13)</t>
    </r>
  </si>
  <si>
    <r>
      <rPr>
        <i val="true"/>
        <sz val="9"/>
        <color rgb="FF595959"/>
        <rFont val="Arial"/>
        <family val="0"/>
        <charset val="1"/>
      </rPr>
      <t xml:space="preserve">PLC </t>
    </r>
    <r>
      <rPr>
        <i val="true"/>
        <sz val="9"/>
        <color rgb="FF595959"/>
        <rFont val="Noto Sans CJK SC"/>
        <family val="2"/>
      </rPr>
      <t xml:space="preserve">실측길이 </t>
    </r>
    <r>
      <rPr>
        <i val="true"/>
        <sz val="9"/>
        <color rgb="FF595959"/>
        <rFont val="Arial"/>
        <family val="0"/>
        <charset val="1"/>
      </rPr>
      <t xml:space="preserve">= plc_data.LENGTH</t>
    </r>
    <r>
      <rPr>
        <i val="true"/>
        <sz val="9"/>
        <color rgb="FF595959"/>
        <rFont val="Noto Sans CJK SC"/>
        <family val="2"/>
      </rPr>
      <t xml:space="preserve">의 코일별 최댓값</t>
    </r>
    <r>
      <rPr>
        <i val="true"/>
        <sz val="9"/>
        <color rgb="FF595959"/>
        <rFont val="Arial"/>
        <family val="0"/>
        <charset val="1"/>
      </rPr>
      <t xml:space="preserve">(MAX). </t>
    </r>
    <r>
      <rPr>
        <i val="true"/>
        <sz val="9"/>
        <color rgb="FF595959"/>
        <rFont val="Noto Sans CJK SC"/>
        <family val="2"/>
      </rPr>
      <t xml:space="preserve">계산길이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중량</t>
    </r>
    <r>
      <rPr>
        <i val="true"/>
        <sz val="9"/>
        <color rgb="FF595959"/>
        <rFont val="Arial"/>
        <family val="0"/>
        <charset val="1"/>
      </rPr>
      <t xml:space="preserve">(kg) x 1,000,000 / (</t>
    </r>
    <r>
      <rPr>
        <i val="true"/>
        <sz val="9"/>
        <color rgb="FF595959"/>
        <rFont val="Noto Sans CJK SC"/>
        <family val="2"/>
      </rPr>
      <t xml:space="preserve">두께</t>
    </r>
    <r>
      <rPr>
        <i val="true"/>
        <sz val="9"/>
        <color rgb="FF595959"/>
        <rFont val="Arial"/>
        <family val="0"/>
        <charset val="1"/>
      </rPr>
      <t xml:space="preserve">mm x </t>
    </r>
    <r>
      <rPr>
        <i val="true"/>
        <sz val="9"/>
        <color rgb="FF595959"/>
        <rFont val="Noto Sans CJK SC"/>
        <family val="2"/>
      </rPr>
      <t xml:space="preserve">폭</t>
    </r>
    <r>
      <rPr>
        <i val="true"/>
        <sz val="9"/>
        <color rgb="FF595959"/>
        <rFont val="Arial"/>
        <family val="0"/>
        <charset val="1"/>
      </rPr>
      <t xml:space="preserve">mm x </t>
    </r>
    <r>
      <rPr>
        <i val="true"/>
        <sz val="9"/>
        <color rgb="FF595959"/>
        <rFont val="Noto Sans CJK SC"/>
        <family val="2"/>
      </rPr>
      <t xml:space="preserve">밀도</t>
    </r>
    <r>
      <rPr>
        <i val="true"/>
        <sz val="9"/>
        <color rgb="FF595959"/>
        <rFont val="Arial"/>
        <family val="0"/>
        <charset val="1"/>
      </rPr>
      <t xml:space="preserve">kg/m³). </t>
    </r>
    <r>
      <rPr>
        <i val="true"/>
        <sz val="9"/>
        <color rgb="FF595959"/>
        <rFont val="Noto Sans CJK SC"/>
        <family val="2"/>
      </rPr>
      <t xml:space="preserve">폭은 </t>
    </r>
    <r>
      <rPr>
        <i val="true"/>
        <sz val="9"/>
        <color rgb="FF595959"/>
        <rFont val="Arial"/>
        <family val="0"/>
        <charset val="1"/>
      </rPr>
      <t xml:space="preserve">ERP </t>
    </r>
    <r>
      <rPr>
        <i val="true"/>
        <sz val="9"/>
        <color rgb="FF595959"/>
        <rFont val="Noto Sans CJK SC"/>
        <family val="2"/>
      </rPr>
      <t xml:space="preserve">규격 표기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두번째 값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가 아니라 </t>
    </r>
    <r>
      <rPr>
        <i val="true"/>
        <sz val="9"/>
        <color rgb="FF595959"/>
        <rFont val="Arial"/>
        <family val="0"/>
        <charset val="1"/>
      </rPr>
      <t xml:space="preserve">PLC UNCOILER_WIDTH </t>
    </r>
    <r>
      <rPr>
        <i val="true"/>
        <sz val="9"/>
        <color rgb="FF595959"/>
        <rFont val="Noto Sans CJK SC"/>
        <family val="2"/>
      </rPr>
      <t xml:space="preserve">실측 평균값을 사용함 — </t>
    </r>
    <r>
      <rPr>
        <i val="true"/>
        <sz val="9"/>
        <color rgb="FF595959"/>
        <rFont val="Arial"/>
        <family val="0"/>
        <charset val="1"/>
      </rPr>
      <t xml:space="preserve">ERP </t>
    </r>
    <r>
      <rPr>
        <i val="true"/>
        <sz val="9"/>
        <color rgb="FF595959"/>
        <rFont val="Noto Sans CJK SC"/>
        <family val="2"/>
      </rPr>
      <t xml:space="preserve">규격의 두번째 값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예</t>
    </r>
    <r>
      <rPr>
        <i val="true"/>
        <sz val="9"/>
        <color rgb="FF595959"/>
        <rFont val="Arial"/>
        <family val="0"/>
        <charset val="1"/>
      </rPr>
      <t xml:space="preserve">: 0.40X4XC</t>
    </r>
    <r>
      <rPr>
        <i val="true"/>
        <sz val="9"/>
        <color rgb="FF595959"/>
        <rFont val="Noto Sans CJK SC"/>
        <family val="2"/>
      </rPr>
      <t xml:space="preserve">의 </t>
    </r>
    <r>
      <rPr>
        <i val="true"/>
        <sz val="9"/>
        <color rgb="FF595959"/>
        <rFont val="Arial"/>
        <family val="0"/>
        <charset val="1"/>
      </rPr>
      <t xml:space="preserve">'4')</t>
    </r>
    <r>
      <rPr>
        <i val="true"/>
        <sz val="9"/>
        <color rgb="FF595959"/>
        <rFont val="Noto Sans CJK SC"/>
        <family val="2"/>
      </rPr>
      <t xml:space="preserve">은 폭</t>
    </r>
    <r>
      <rPr>
        <i val="true"/>
        <sz val="9"/>
        <color rgb="FF595959"/>
        <rFont val="Arial"/>
        <family val="0"/>
        <charset val="1"/>
      </rPr>
      <t xml:space="preserve">(mm)</t>
    </r>
    <r>
      <rPr>
        <i val="true"/>
        <sz val="9"/>
        <color rgb="FF595959"/>
        <rFont val="Noto Sans CJK SC"/>
        <family val="2"/>
      </rPr>
      <t xml:space="preserve">이 아니라 슬리팅 가닥수로 확인됨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</si>
  <si>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밀도 가정</t>
    </r>
    <r>
      <rPr>
        <b val="true"/>
        <sz val="10"/>
        <rFont val="Arial"/>
        <family val="0"/>
        <charset val="1"/>
      </rPr>
      <t xml:space="preserve">(kg/m³, </t>
    </r>
    <r>
      <rPr>
        <b val="true"/>
        <sz val="10"/>
        <rFont val="Noto Sans CJK SC"/>
        <family val="2"/>
      </rPr>
      <t xml:space="preserve">일반 냉연강판 기준</t>
    </r>
    <r>
      <rPr>
        <b val="true"/>
        <sz val="10"/>
        <rFont val="Arial"/>
        <family val="0"/>
        <charset val="1"/>
      </rPr>
      <t xml:space="preserve">):</t>
    </r>
  </si>
  <si>
    <r>
      <rPr>
        <b val="true"/>
        <sz val="10"/>
        <color rgb="FFFFFFFF"/>
        <rFont val="Noto Sans CJK SC"/>
        <family val="2"/>
      </rPr>
      <t xml:space="preserve">코일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</si>
  <si>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작업일자</t>
  </si>
  <si>
    <t xml:space="preserve">거래처</t>
  </si>
  <si>
    <r>
      <rPr>
        <b val="true"/>
        <sz val="10"/>
        <color rgb="FFFFFFFF"/>
        <rFont val="Noto Sans CJK SC"/>
        <family val="2"/>
      </rPr>
      <t xml:space="preserve">규격</t>
    </r>
    <r>
      <rPr>
        <b val="true"/>
        <sz val="10"/>
        <color rgb="FFFFFFFF"/>
        <rFont val="Arial"/>
        <family val="0"/>
        <charset val="1"/>
      </rPr>
      <t xml:space="preserve">(ERP)</t>
    </r>
  </si>
  <si>
    <r>
      <rPr>
        <b val="true"/>
        <sz val="10"/>
        <color rgb="FFFFFFFF"/>
        <rFont val="Noto Sans CJK SC"/>
        <family val="2"/>
      </rPr>
      <t xml:space="preserve">두께</t>
    </r>
    <r>
      <rPr>
        <b val="true"/>
        <sz val="10"/>
        <color rgb="FFFFFFFF"/>
        <rFont val="Arial"/>
        <family val="0"/>
        <charset val="1"/>
      </rPr>
      <t xml:space="preserve">(mm)</t>
    </r>
  </si>
  <si>
    <r>
      <rPr>
        <b val="true"/>
        <sz val="10"/>
        <color rgb="FFFFFFFF"/>
        <rFont val="Noto Sans CJK SC"/>
        <family val="2"/>
      </rPr>
      <t xml:space="preserve">실측폭 </t>
    </r>
    <r>
      <rPr>
        <b val="true"/>
        <sz val="10"/>
        <color rgb="FFFFFFFF"/>
        <rFont val="Arial"/>
        <family val="0"/>
        <charset val="1"/>
      </rPr>
      <t xml:space="preserve">PLC</t>
    </r>
    <r>
      <rPr>
        <b val="true"/>
        <sz val="10"/>
        <color rgb="FFFFFFFF"/>
        <rFont val="Noto Sans CJK SC"/>
        <family val="2"/>
      </rPr>
      <t xml:space="preserve">평균</t>
    </r>
    <r>
      <rPr>
        <b val="true"/>
        <sz val="10"/>
        <color rgb="FFFFFFFF"/>
        <rFont val="Arial"/>
        <family val="0"/>
        <charset val="1"/>
      </rPr>
      <t xml:space="preserve">(mm)</t>
    </r>
  </si>
  <si>
    <r>
      <rPr>
        <b val="true"/>
        <sz val="10"/>
        <color rgb="FFFFFFFF"/>
        <rFont val="Noto Sans CJK SC"/>
        <family val="2"/>
      </rPr>
      <t xml:space="preserve">원중량</t>
    </r>
    <r>
      <rPr>
        <b val="true"/>
        <sz val="10"/>
        <color rgb="FFFFFFFF"/>
        <rFont val="Arial"/>
        <family val="0"/>
        <charset val="1"/>
      </rPr>
      <t xml:space="preserve">(kg)</t>
    </r>
  </si>
  <si>
    <r>
      <rPr>
        <b val="true"/>
        <sz val="10"/>
        <color rgb="FFFFFFFF"/>
        <rFont val="Noto Sans CJK SC"/>
        <family val="2"/>
      </rPr>
      <t xml:space="preserve">사용중량</t>
    </r>
    <r>
      <rPr>
        <b val="true"/>
        <sz val="10"/>
        <color rgb="FFFFFFFF"/>
        <rFont val="Arial"/>
        <family val="0"/>
        <charset val="1"/>
      </rPr>
      <t xml:space="preserve">(kg)</t>
    </r>
  </si>
  <si>
    <r>
      <rPr>
        <b val="true"/>
        <sz val="10"/>
        <color rgb="FFFFFFFF"/>
        <rFont val="Arial"/>
        <family val="0"/>
        <charset val="1"/>
      </rPr>
      <t xml:space="preserve">PLC </t>
    </r>
    <r>
      <rPr>
        <b val="true"/>
        <sz val="10"/>
        <color rgb="FFFFFFFF"/>
        <rFont val="Noto Sans CJK SC"/>
        <family val="2"/>
      </rPr>
      <t xml:space="preserve">측정길이</t>
    </r>
    <r>
      <rPr>
        <b val="true"/>
        <sz val="10"/>
        <color rgb="FFFFFFFF"/>
        <rFont val="Arial"/>
        <family val="0"/>
        <charset val="1"/>
      </rPr>
      <t xml:space="preserve">(m)</t>
    </r>
  </si>
  <si>
    <r>
      <rPr>
        <b val="true"/>
        <sz val="10"/>
        <color rgb="FFFFFFFF"/>
        <rFont val="Noto Sans CJK SC"/>
        <family val="2"/>
      </rPr>
      <t xml:space="preserve">계산길이</t>
    </r>
    <r>
      <rPr>
        <b val="true"/>
        <sz val="10"/>
        <color rgb="FFFFFFFF"/>
        <rFont val="Arial"/>
        <family val="0"/>
        <charset val="1"/>
      </rPr>
      <t xml:space="preserve">(m)</t>
    </r>
  </si>
  <si>
    <r>
      <rPr>
        <b val="true"/>
        <sz val="10"/>
        <color rgb="FFFFFFFF"/>
        <rFont val="Noto Sans CJK SC"/>
        <family val="2"/>
      </rPr>
      <t xml:space="preserve">차이</t>
    </r>
    <r>
      <rPr>
        <b val="true"/>
        <sz val="10"/>
        <color rgb="FFFFFFFF"/>
        <rFont val="Arial"/>
        <family val="0"/>
        <charset val="1"/>
      </rPr>
      <t xml:space="preserve">(m)</t>
    </r>
  </si>
  <si>
    <r>
      <rPr>
        <b val="true"/>
        <sz val="10"/>
        <color rgb="FFFFFFFF"/>
        <rFont val="Noto Sans CJK SC"/>
        <family val="2"/>
      </rPr>
      <t xml:space="preserve">차이율</t>
    </r>
    <r>
      <rPr>
        <b val="true"/>
        <sz val="10"/>
        <color rgb="FFFFFFFF"/>
        <rFont val="Arial"/>
        <family val="0"/>
        <charset val="1"/>
      </rPr>
      <t xml:space="preserve">(%)</t>
    </r>
  </si>
  <si>
    <t xml:space="preserve">비고</t>
  </si>
  <si>
    <t xml:space="preserve">2641204821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</si>
  <si>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대한강재</t>
    </r>
  </si>
  <si>
    <t xml:space="preserve">0.40X4XC</t>
  </si>
  <si>
    <t xml:space="preserve">2641003511</t>
  </si>
  <si>
    <t xml:space="preserve">2641003311</t>
  </si>
  <si>
    <t xml:space="preserve">2641003211</t>
  </si>
  <si>
    <t xml:space="preserve">2641002721</t>
  </si>
  <si>
    <t xml:space="preserve">2641003521</t>
  </si>
  <si>
    <r>
      <rPr>
        <sz val="9"/>
        <rFont val="Noto Sans CJK SC"/>
        <family val="2"/>
      </rPr>
      <t xml:space="preserve">세션 중간 </t>
    </r>
    <r>
      <rPr>
        <sz val="9"/>
        <rFont val="Arial"/>
        <family val="0"/>
        <charset val="1"/>
      </rPr>
      <t xml:space="preserve">LENGTH 0 </t>
    </r>
    <r>
      <rPr>
        <sz val="9"/>
        <rFont val="Noto Sans CJK SC"/>
        <family val="2"/>
      </rPr>
      <t xml:space="preserve">리셋 확인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정지 후 리셋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실측치 영향 미미</t>
    </r>
    <r>
      <rPr>
        <sz val="9"/>
        <rFont val="Arial"/>
        <family val="0"/>
        <charset val="1"/>
      </rPr>
      <t xml:space="preserve">)</t>
    </r>
  </si>
  <si>
    <t xml:space="preserve">2641003421</t>
  </si>
  <si>
    <t xml:space="preserve">262071471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</si>
  <si>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유창</t>
    </r>
  </si>
  <si>
    <t xml:space="preserve">0.75X4XC</t>
  </si>
  <si>
    <t xml:space="preserve">계산길이 대비 실측길이가 크게 낮음 — 별도 확인 필요</t>
  </si>
  <si>
    <t xml:space="preserve">2641702321</t>
  </si>
  <si>
    <t xml:space="preserve">0.63X4XC</t>
  </si>
  <si>
    <t xml:space="preserve">2641102111</t>
  </si>
  <si>
    <t xml:space="preserve">59A2085A</t>
  </si>
  <si>
    <t xml:space="preserve">1.15X1200XC</t>
  </si>
  <si>
    <t xml:space="preserve">58A7062B</t>
  </si>
  <si>
    <t xml:space="preserve">2630301321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</si>
  <si>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신신강업</t>
    </r>
  </si>
  <si>
    <t xml:space="preserve">1.55X4XC</t>
  </si>
  <si>
    <r>
      <rPr>
        <sz val="9"/>
        <rFont val="Noto Sans CJK SC"/>
        <family val="2"/>
      </rPr>
      <t xml:space="preserve">코일</t>
    </r>
    <r>
      <rPr>
        <sz val="9"/>
        <rFont val="Arial"/>
        <family val="0"/>
        <charset val="1"/>
      </rPr>
      <t xml:space="preserve">ID </t>
    </r>
    <r>
      <rPr>
        <sz val="9"/>
        <rFont val="Noto Sans CJK SC"/>
        <family val="2"/>
      </rPr>
      <t xml:space="preserve">경계에 이전 코일 잔여값 노이즈 확인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수치엔 영향 없음</t>
    </r>
    <r>
      <rPr>
        <sz val="9"/>
        <rFont val="Arial"/>
        <family val="0"/>
        <charset val="1"/>
      </rPr>
      <t xml:space="preserve">)</t>
    </r>
  </si>
  <si>
    <t xml:space="preserve">2630301211</t>
  </si>
  <si>
    <r>
      <rPr>
        <b val="true"/>
        <sz val="10"/>
        <rFont val="Noto Sans CJK SC"/>
        <family val="2"/>
      </rPr>
      <t xml:space="preserve">합계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평균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</si>
</sst>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"/>
    <numFmt numFmtId="167" formatCode="#,##0;\(#,##0\)"/>
    <numFmt numFmtId="168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Noto Sans CJK SC"/>
      <family val="2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595959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9"/>
      <name val="Arial"/>
      <family val="0"/>
      <charset val="1"/>
    </font>
    <font>
      <sz val="9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FC7CE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double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4" min="3" style="0" width="14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8" min="7" style="0" width="11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2" min="11" style="0" width="9"/>
    <col collapsed="false" customWidth="true" hidden="false" outlineLevel="0" max="13" min="13" style="0" width="38"/>
  </cols>
  <sheetData>
    <row r="1" customFormat="false" ht="21.6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3" t="s">
        <v>2</v>
      </c>
      <c r="C4" s="4" t="n">
        <v>7850</v>
      </c>
    </row>
    <row r="6" customFormat="false" ht="31.5" hidden="false" customHeight="true" outlineLevel="0" collapsed="false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6" t="s">
        <v>11</v>
      </c>
      <c r="J6" s="5" t="s">
        <v>12</v>
      </c>
      <c r="K6" s="5" t="s">
        <v>13</v>
      </c>
      <c r="L6" s="5" t="s">
        <v>14</v>
      </c>
      <c r="M6" s="5" t="s">
        <v>15</v>
      </c>
    </row>
    <row r="7" customFormat="false" ht="15" hidden="false" customHeight="false" outlineLevel="0" collapsed="false">
      <c r="A7" s="7" t="s">
        <v>16</v>
      </c>
      <c r="B7" s="8" t="n">
        <v>46246</v>
      </c>
      <c r="C7" s="7" t="s">
        <v>17</v>
      </c>
      <c r="D7" s="7" t="s">
        <v>18</v>
      </c>
      <c r="E7" s="7" t="n">
        <v>0.4</v>
      </c>
      <c r="F7" s="7" t="n">
        <v>1205.1</v>
      </c>
      <c r="G7" s="9" t="n">
        <v>10970</v>
      </c>
      <c r="H7" s="9" t="n">
        <v>10970</v>
      </c>
      <c r="I7" s="9" t="n">
        <v>2902</v>
      </c>
      <c r="J7" s="9" t="n">
        <f aca="false">G7*1000000/(E7*F7*$C$4)</f>
        <v>2899.03789996549</v>
      </c>
      <c r="K7" s="10" t="n">
        <f aca="false">J7-I7</f>
        <v>-2.96210003451324</v>
      </c>
      <c r="L7" s="11" t="n">
        <f aca="false">IF(I7=0,"",K7/I7)</f>
        <v>-0.00102070986716514</v>
      </c>
      <c r="M7" s="12"/>
    </row>
    <row r="8" customFormat="false" ht="15" hidden="false" customHeight="false" outlineLevel="0" collapsed="false">
      <c r="A8" s="7" t="s">
        <v>19</v>
      </c>
      <c r="B8" s="8" t="n">
        <v>46246</v>
      </c>
      <c r="C8" s="7" t="s">
        <v>17</v>
      </c>
      <c r="D8" s="7" t="s">
        <v>18</v>
      </c>
      <c r="E8" s="7" t="n">
        <v>0.4</v>
      </c>
      <c r="F8" s="7" t="n">
        <v>1205.1</v>
      </c>
      <c r="G8" s="9" t="n">
        <v>10960</v>
      </c>
      <c r="H8" s="9" t="n">
        <v>10960</v>
      </c>
      <c r="I8" s="9" t="n">
        <v>2890</v>
      </c>
      <c r="J8" s="9" t="n">
        <f aca="false">G8*1000000/(E8*F8*$C$4)</f>
        <v>2896.39520361183</v>
      </c>
      <c r="K8" s="10" t="n">
        <f aca="false">J8-I8</f>
        <v>6.39520361182622</v>
      </c>
      <c r="L8" s="11" t="n">
        <f aca="false">IF(I8=0,"",K8/I8)</f>
        <v>0.0022128732220852</v>
      </c>
      <c r="M8" s="12"/>
    </row>
    <row r="9" customFormat="false" ht="15" hidden="false" customHeight="false" outlineLevel="0" collapsed="false">
      <c r="A9" s="7" t="s">
        <v>20</v>
      </c>
      <c r="B9" s="8" t="n">
        <v>46246</v>
      </c>
      <c r="C9" s="7" t="s">
        <v>17</v>
      </c>
      <c r="D9" s="7" t="s">
        <v>18</v>
      </c>
      <c r="E9" s="7" t="n">
        <v>0.4</v>
      </c>
      <c r="F9" s="7" t="n">
        <v>1205</v>
      </c>
      <c r="G9" s="9" t="n">
        <v>11010</v>
      </c>
      <c r="H9" s="9" t="n">
        <v>11010</v>
      </c>
      <c r="I9" s="9" t="n">
        <v>2923</v>
      </c>
      <c r="J9" s="9" t="n">
        <f aca="false">G9*1000000/(E9*F9*$C$4)</f>
        <v>2909.85014668182</v>
      </c>
      <c r="K9" s="10" t="n">
        <f aca="false">J9-I9</f>
        <v>-13.1498533181807</v>
      </c>
      <c r="L9" s="11" t="n">
        <f aca="false">IF(I9=0,"",K9/I9)</f>
        <v>-0.00449875241812545</v>
      </c>
      <c r="M9" s="12"/>
    </row>
    <row r="10" customFormat="false" ht="15" hidden="false" customHeight="false" outlineLevel="0" collapsed="false">
      <c r="A10" s="7" t="s">
        <v>21</v>
      </c>
      <c r="B10" s="8" t="n">
        <v>46246</v>
      </c>
      <c r="C10" s="7" t="s">
        <v>17</v>
      </c>
      <c r="D10" s="7" t="s">
        <v>18</v>
      </c>
      <c r="E10" s="7" t="n">
        <v>0.4</v>
      </c>
      <c r="F10" s="7" t="n">
        <v>1205.1</v>
      </c>
      <c r="G10" s="9" t="n">
        <v>11010</v>
      </c>
      <c r="H10" s="9" t="n">
        <v>11010</v>
      </c>
      <c r="I10" s="9" t="n">
        <v>2909</v>
      </c>
      <c r="J10" s="9" t="n">
        <f aca="false">G10*1000000/(E10*F10*$C$4)</f>
        <v>2909.60868538013</v>
      </c>
      <c r="K10" s="10" t="n">
        <f aca="false">J10-I10</f>
        <v>0.608685380128463</v>
      </c>
      <c r="L10" s="11" t="n">
        <f aca="false">IF(I10=0,"",K10/I10)</f>
        <v>0.000209242138235979</v>
      </c>
      <c r="M10" s="12"/>
    </row>
    <row r="11" customFormat="false" ht="15" hidden="false" customHeight="false" outlineLevel="0" collapsed="false">
      <c r="A11" s="7" t="s">
        <v>22</v>
      </c>
      <c r="B11" s="8" t="n">
        <v>46246</v>
      </c>
      <c r="C11" s="7" t="s">
        <v>17</v>
      </c>
      <c r="D11" s="7" t="s">
        <v>18</v>
      </c>
      <c r="E11" s="7" t="n">
        <v>0.4</v>
      </c>
      <c r="F11" s="7" t="n">
        <v>1205</v>
      </c>
      <c r="G11" s="9" t="n">
        <v>11010</v>
      </c>
      <c r="H11" s="9" t="n">
        <v>11010</v>
      </c>
      <c r="I11" s="9" t="n">
        <v>2892</v>
      </c>
      <c r="J11" s="9" t="n">
        <f aca="false">G11*1000000/(E11*F11*$C$4)</f>
        <v>2909.85014668182</v>
      </c>
      <c r="K11" s="10" t="n">
        <f aca="false">J11-I11</f>
        <v>17.8501466818193</v>
      </c>
      <c r="L11" s="11" t="n">
        <f aca="false">IF(I11=0,"",K11/I11)</f>
        <v>0.00617224988997901</v>
      </c>
      <c r="M11" s="12"/>
    </row>
    <row r="12" customFormat="false" ht="26.85" hidden="false" customHeight="false" outlineLevel="0" collapsed="false">
      <c r="A12" s="7" t="s">
        <v>23</v>
      </c>
      <c r="B12" s="8" t="n">
        <v>46246</v>
      </c>
      <c r="C12" s="7" t="s">
        <v>17</v>
      </c>
      <c r="D12" s="7" t="s">
        <v>18</v>
      </c>
      <c r="E12" s="7" t="n">
        <v>0.4</v>
      </c>
      <c r="F12" s="7" t="n">
        <v>1205</v>
      </c>
      <c r="G12" s="9" t="n">
        <v>11020</v>
      </c>
      <c r="H12" s="9" t="n">
        <v>11020</v>
      </c>
      <c r="I12" s="9" t="n">
        <v>2903</v>
      </c>
      <c r="J12" s="9" t="n">
        <f aca="false">G12*1000000/(E12*F12*$C$4)</f>
        <v>2912.49306234638</v>
      </c>
      <c r="K12" s="10" t="n">
        <f aca="false">J12-I12</f>
        <v>9.49306234638061</v>
      </c>
      <c r="L12" s="11" t="n">
        <f aca="false">IF(I12=0,"",K12/I12)</f>
        <v>0.00327008692606979</v>
      </c>
      <c r="M12" s="13" t="s">
        <v>24</v>
      </c>
    </row>
    <row r="13" customFormat="false" ht="15" hidden="false" customHeight="false" outlineLevel="0" collapsed="false">
      <c r="A13" s="7" t="s">
        <v>25</v>
      </c>
      <c r="B13" s="8" t="n">
        <v>46246</v>
      </c>
      <c r="C13" s="7" t="s">
        <v>17</v>
      </c>
      <c r="D13" s="7" t="s">
        <v>18</v>
      </c>
      <c r="E13" s="7" t="n">
        <v>0.4</v>
      </c>
      <c r="F13" s="7" t="n">
        <v>1205.1</v>
      </c>
      <c r="G13" s="9" t="n">
        <v>11060</v>
      </c>
      <c r="H13" s="9" t="n">
        <v>11060</v>
      </c>
      <c r="I13" s="9" t="n">
        <v>2832</v>
      </c>
      <c r="J13" s="9" t="n">
        <f aca="false">G13*1000000/(E13*F13*$C$4)</f>
        <v>2922.82216714843</v>
      </c>
      <c r="K13" s="10" t="n">
        <f aca="false">J13-I13</f>
        <v>90.8221671484307</v>
      </c>
      <c r="L13" s="11" t="n">
        <f aca="false">IF(I13=0,"",K13/I13)</f>
        <v>0.0320699742755758</v>
      </c>
      <c r="M13" s="12"/>
    </row>
    <row r="14" customFormat="false" ht="15" hidden="false" customHeight="false" outlineLevel="0" collapsed="false">
      <c r="A14" s="14" t="s">
        <v>26</v>
      </c>
      <c r="B14" s="15" t="n">
        <v>46246</v>
      </c>
      <c r="C14" s="14" t="s">
        <v>27</v>
      </c>
      <c r="D14" s="14" t="s">
        <v>28</v>
      </c>
      <c r="E14" s="14" t="n">
        <v>0.75</v>
      </c>
      <c r="F14" s="14" t="n">
        <v>1205</v>
      </c>
      <c r="G14" s="16" t="n">
        <v>8830</v>
      </c>
      <c r="H14" s="16" t="n">
        <v>8830</v>
      </c>
      <c r="I14" s="16" t="n">
        <v>569</v>
      </c>
      <c r="J14" s="16" t="n">
        <f aca="false">G14*1000000/(E14*F14*$C$4)</f>
        <v>1244.63708363066</v>
      </c>
      <c r="K14" s="17" t="n">
        <f aca="false">J14-I14</f>
        <v>675.637083630661</v>
      </c>
      <c r="L14" s="18" t="n">
        <f aca="false">IF(I14=0,"",K14/I14)</f>
        <v>1.18741139478148</v>
      </c>
      <c r="M14" s="19" t="s">
        <v>29</v>
      </c>
    </row>
    <row r="15" customFormat="false" ht="15" hidden="false" customHeight="false" outlineLevel="0" collapsed="false">
      <c r="A15" s="7" t="s">
        <v>30</v>
      </c>
      <c r="B15" s="8" t="n">
        <v>46247</v>
      </c>
      <c r="C15" s="7" t="s">
        <v>17</v>
      </c>
      <c r="D15" s="7" t="s">
        <v>31</v>
      </c>
      <c r="E15" s="7" t="n">
        <v>0.63</v>
      </c>
      <c r="F15" s="7" t="n">
        <v>1205</v>
      </c>
      <c r="G15" s="9" t="n">
        <v>11090</v>
      </c>
      <c r="H15" s="9" t="n">
        <v>11090</v>
      </c>
      <c r="I15" s="9" t="n">
        <v>1854</v>
      </c>
      <c r="J15" s="9" t="n">
        <f aca="false">G15*1000000/(E15*F15*$C$4)</f>
        <v>1860.9482361894</v>
      </c>
      <c r="K15" s="10" t="n">
        <f aca="false">J15-I15</f>
        <v>6.94823618940222</v>
      </c>
      <c r="L15" s="11" t="n">
        <f aca="false">IF(I15=0,"",K15/I15)</f>
        <v>0.00374770021003356</v>
      </c>
      <c r="M15" s="12"/>
    </row>
    <row r="16" customFormat="false" ht="15" hidden="false" customHeight="false" outlineLevel="0" collapsed="false">
      <c r="A16" s="7" t="s">
        <v>32</v>
      </c>
      <c r="B16" s="8" t="n">
        <v>46247</v>
      </c>
      <c r="C16" s="7" t="s">
        <v>17</v>
      </c>
      <c r="D16" s="7" t="s">
        <v>31</v>
      </c>
      <c r="E16" s="7" t="n">
        <v>0.63</v>
      </c>
      <c r="F16" s="7" t="n">
        <v>1205.1</v>
      </c>
      <c r="G16" s="9" t="n">
        <v>10950</v>
      </c>
      <c r="H16" s="9" t="n">
        <v>10950</v>
      </c>
      <c r="I16" s="9" t="n">
        <v>1832</v>
      </c>
      <c r="J16" s="9" t="n">
        <f aca="false">G16*1000000/(E16*F16*$C$4)</f>
        <v>1837.30317921153</v>
      </c>
      <c r="K16" s="10" t="n">
        <f aca="false">J16-I16</f>
        <v>5.30317921153369</v>
      </c>
      <c r="L16" s="11" t="n">
        <f aca="false">IF(I16=0,"",K16/I16)</f>
        <v>0.0028947484779114</v>
      </c>
      <c r="M16" s="12"/>
    </row>
    <row r="17" customFormat="false" ht="15" hidden="false" customHeight="false" outlineLevel="0" collapsed="false">
      <c r="A17" s="7" t="s">
        <v>33</v>
      </c>
      <c r="B17" s="8" t="n">
        <v>46247</v>
      </c>
      <c r="C17" s="7" t="s">
        <v>27</v>
      </c>
      <c r="D17" s="7" t="s">
        <v>34</v>
      </c>
      <c r="E17" s="7" t="n">
        <v>1.15</v>
      </c>
      <c r="F17" s="7" t="n">
        <v>1205.1</v>
      </c>
      <c r="G17" s="9" t="n">
        <v>11490</v>
      </c>
      <c r="H17" s="9" t="n">
        <v>11490</v>
      </c>
      <c r="I17" s="9" t="n">
        <v>1048</v>
      </c>
      <c r="J17" s="9" t="n">
        <f aca="false">G17*1000000/(E17*F17*$C$4)</f>
        <v>1056.15934273246</v>
      </c>
      <c r="K17" s="10" t="n">
        <f aca="false">J17-I17</f>
        <v>8.15934273246216</v>
      </c>
      <c r="L17" s="11" t="n">
        <f aca="false">IF(I17=0,"",K17/I17)</f>
        <v>0.00778563237830359</v>
      </c>
      <c r="M17" s="12"/>
    </row>
    <row r="18" customFormat="false" ht="15" hidden="false" customHeight="false" outlineLevel="0" collapsed="false">
      <c r="A18" s="7" t="s">
        <v>35</v>
      </c>
      <c r="B18" s="8" t="n">
        <v>46247</v>
      </c>
      <c r="C18" s="7" t="s">
        <v>27</v>
      </c>
      <c r="D18" s="7" t="s">
        <v>34</v>
      </c>
      <c r="E18" s="7" t="n">
        <v>1.15</v>
      </c>
      <c r="F18" s="7" t="n">
        <v>1205</v>
      </c>
      <c r="G18" s="9" t="n">
        <v>11610</v>
      </c>
      <c r="H18" s="9" t="n">
        <v>11610</v>
      </c>
      <c r="I18" s="9" t="n">
        <v>1066</v>
      </c>
      <c r="J18" s="9" t="n">
        <f aca="false">G18*1000000/(E18*F18*$C$4)</f>
        <v>1067.27829097582</v>
      </c>
      <c r="K18" s="10" t="n">
        <f aca="false">J18-I18</f>
        <v>1.27829097582185</v>
      </c>
      <c r="L18" s="11" t="n">
        <f aca="false">IF(I18=0,"",K18/I18)</f>
        <v>0.00119914725686852</v>
      </c>
      <c r="M18" s="12"/>
    </row>
    <row r="19" customFormat="false" ht="26.85" hidden="false" customHeight="false" outlineLevel="0" collapsed="false">
      <c r="A19" s="7" t="s">
        <v>36</v>
      </c>
      <c r="B19" s="8" t="n">
        <v>46247</v>
      </c>
      <c r="C19" s="7" t="s">
        <v>37</v>
      </c>
      <c r="D19" s="7" t="s">
        <v>38</v>
      </c>
      <c r="E19" s="7" t="n">
        <v>1.55</v>
      </c>
      <c r="F19" s="7" t="n">
        <v>1205</v>
      </c>
      <c r="G19" s="9" t="n">
        <v>10530</v>
      </c>
      <c r="H19" s="9" t="n">
        <v>10530</v>
      </c>
      <c r="I19" s="9" t="n">
        <v>707</v>
      </c>
      <c r="J19" s="9" t="n">
        <f aca="false">G19*1000000/(E19*F19*$C$4)</f>
        <v>718.191018008486</v>
      </c>
      <c r="K19" s="10" t="n">
        <f aca="false">J19-I19</f>
        <v>11.1910180084864</v>
      </c>
      <c r="L19" s="11" t="n">
        <f aca="false">IF(I19=0,"",K19/I19)</f>
        <v>0.015828879785695</v>
      </c>
      <c r="M19" s="13" t="s">
        <v>39</v>
      </c>
    </row>
    <row r="20" customFormat="false" ht="26.85" hidden="false" customHeight="false" outlineLevel="0" collapsed="false">
      <c r="A20" s="7" t="s">
        <v>40</v>
      </c>
      <c r="B20" s="8" t="n">
        <v>46247</v>
      </c>
      <c r="C20" s="7" t="s">
        <v>37</v>
      </c>
      <c r="D20" s="7" t="s">
        <v>38</v>
      </c>
      <c r="E20" s="7" t="n">
        <v>1.55</v>
      </c>
      <c r="F20" s="7" t="n">
        <v>1205</v>
      </c>
      <c r="G20" s="9" t="n">
        <v>10590</v>
      </c>
      <c r="H20" s="9" t="n">
        <v>10590</v>
      </c>
      <c r="I20" s="9" t="n">
        <v>712</v>
      </c>
      <c r="J20" s="9" t="n">
        <f aca="false">G20*1000000/(E20*F20*$C$4)</f>
        <v>722.283274521355</v>
      </c>
      <c r="K20" s="10" t="n">
        <f aca="false">J20-I20</f>
        <v>10.2832745213552</v>
      </c>
      <c r="L20" s="11" t="n">
        <f aca="false">IF(I20=0,"",K20/I20)</f>
        <v>0.0144428012940382</v>
      </c>
      <c r="M20" s="13" t="s">
        <v>39</v>
      </c>
    </row>
    <row r="22" customFormat="false" ht="15" hidden="false" customHeight="false" outlineLevel="0" collapsed="false">
      <c r="A22" s="20" t="s">
        <v>41</v>
      </c>
      <c r="B22" s="20"/>
      <c r="C22" s="20"/>
      <c r="D22" s="20"/>
      <c r="E22" s="20"/>
      <c r="F22" s="20"/>
      <c r="G22" s="21" t="n">
        <f aca="false">SUM(G7:G20)</f>
        <v>152130</v>
      </c>
      <c r="H22" s="20"/>
      <c r="I22" s="21" t="n">
        <f aca="false">SUM(I7:I20)</f>
        <v>28039</v>
      </c>
      <c r="J22" s="21" t="n">
        <f aca="false">SUM(J7:J20)</f>
        <v>28866.8577370856</v>
      </c>
      <c r="K22" s="20"/>
      <c r="L22" s="22" t="n">
        <f aca="false">AVERAGE(L7:L20)</f>
        <v>0.0908375191679275</v>
      </c>
      <c r="M22" s="20"/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2026-08-14T00:03:17Z</dcterms:created>
  <dc:creator>openpyxl</dc:creator>
  <dc:description/>
  <dc:language>en-US</dc:language>
  <cp:lastModifiedBy/>
  <dcterms:modified xsi:type="dcterms:W3CDTF">2026-08-14T00:03:17Z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